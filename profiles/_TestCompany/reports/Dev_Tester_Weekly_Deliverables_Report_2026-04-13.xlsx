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rojects" sheetId="2" state="visible" r:id="rId2"/>
    <sheet name="Tasks" sheetId="3" state="visible" r:id="rId3"/>
    <sheet name="Deliverables" sheetId="4" state="visible" r:id="rId4"/>
    <sheet name="Timelines" sheetId="5" state="visible" r:id="rId5"/>
    <sheet name="Gantt Cha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D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3DA5"/>
      <sz val="20"/>
    </font>
    <font>
      <name val="Calibri"/>
      <color rgb="00336BBF"/>
      <sz val="12"/>
    </font>
    <font>
      <name val="Calibri"/>
      <b val="1"/>
      <color rgb="00003DA5"/>
      <sz val="14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9"/>
    </font>
    <font>
      <name val="Calibri"/>
      <color rgb="00FFFFFF"/>
      <sz val="8"/>
    </font>
    <font>
      <name val="Calibri"/>
      <b val="1"/>
      <color rgb="00333333"/>
      <sz val="9"/>
    </font>
  </fonts>
  <fills count="8">
    <fill>
      <patternFill/>
    </fill>
    <fill>
      <patternFill patternType="gray125"/>
    </fill>
    <fill>
      <patternFill patternType="solid">
        <fgColor rgb="00003DA5"/>
        <bgColor rgb="00003DA5"/>
      </patternFill>
    </fill>
    <fill>
      <patternFill patternType="solid">
        <fgColor rgb="00E6EFF8"/>
        <bgColor rgb="00E6EFF8"/>
      </patternFill>
    </fill>
    <fill>
      <patternFill patternType="solid">
        <fgColor rgb="00D6EAF8"/>
        <bgColor rgb="00D6EAF8"/>
      </patternFill>
    </fill>
    <fill>
      <patternFill patternType="solid">
        <fgColor rgb="00F2F3F4"/>
        <bgColor rgb="00F2F3F4"/>
      </patternFill>
    </fill>
    <fill>
      <patternFill patternType="solid">
        <fgColor rgb="00B3CDE3"/>
        <bgColor rgb="00B3CDE3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>
        <color rgb="00B3CDE3"/>
      </left>
      <right style="thin">
        <color rgb="00B3CDE3"/>
      </right>
      <top style="thin">
        <color rgb="00B3CDE3"/>
      </top>
      <bottom style="thin">
        <color rgb="00B3CDE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pivotButton="0" quotePrefix="0" xfId="0"/>
    <xf numFmtId="0" fontId="7" fillId="2" borderId="0" applyAlignment="1" pivotButton="0" quotePrefix="0" xfId="0">
      <alignment horizontal="center" vertical="center"/>
    </xf>
    <xf numFmtId="165" fontId="8" fillId="2" borderId="0" applyAlignment="1" pivotButton="0" quotePrefix="0" xfId="0">
      <alignment horizontal="center" textRotation="90"/>
    </xf>
    <xf numFmtId="0" fontId="9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2E8B57"/>
          <bgColor rgb="002E8B57"/>
        </patternFill>
      </fill>
    </dxf>
    <dxf>
      <fill>
        <patternFill patternType="solid">
          <fgColor rgb="00C0392B"/>
          <bgColor rgb="00C0392B"/>
        </patternFill>
      </fill>
    </dxf>
    <dxf>
      <fill>
        <patternFill patternType="solid">
          <fgColor rgb="00336BBF"/>
          <bgColor rgb="00336B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DA5"/>
    <outlinePr summaryBelow="1" summaryRight="1"/>
    <pageSetUpPr/>
  </sheetPr>
  <dimension ref="B1:I33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Weekly Dashboard — April 13, 2026</t>
        </is>
      </c>
    </row>
    <row r="2">
      <c r="B2" s="4" t="inlineStr">
        <is>
          <t>Dev Tester  |  Developer  |  _TestCompany</t>
        </is>
      </c>
    </row>
    <row r="4">
      <c r="B4" s="5" t="inlineStr">
        <is>
          <t>Project Status Summary</t>
        </is>
      </c>
    </row>
    <row r="5">
      <c r="B5" s="2" t="inlineStr">
        <is>
          <t>Project</t>
        </is>
      </c>
      <c r="C5" s="2" t="inlineStr">
        <is>
          <t>Category</t>
        </is>
      </c>
      <c r="D5" s="2" t="inlineStr">
        <is>
          <t>Status</t>
        </is>
      </c>
      <c r="E5" s="2" t="inlineStr">
        <is>
          <t>Priority</t>
        </is>
      </c>
      <c r="F5" s="2" t="inlineStr">
        <is>
          <t>Active Tasks</t>
        </is>
      </c>
      <c r="G5" s="2" t="inlineStr">
        <is>
          <t>% Complete</t>
        </is>
      </c>
      <c r="H5" s="2" t="inlineStr">
        <is>
          <t>Allocated (hrs)</t>
        </is>
      </c>
      <c r="I5" s="2" t="inlineStr">
        <is>
          <t>Spent (hrs)</t>
        </is>
      </c>
    </row>
    <row r="6">
      <c r="B6" s="6" t="inlineStr">
        <is>
          <t>Weekly Site Operations</t>
        </is>
      </c>
      <c r="C6" s="6" t="inlineStr">
        <is>
          <t>Weekly</t>
        </is>
      </c>
      <c r="D6" s="6" t="inlineStr">
        <is>
          <t>In Progress</t>
        </is>
      </c>
      <c r="E6" s="6" t="inlineStr">
        <is>
          <t>P1 – Urgent</t>
        </is>
      </c>
      <c r="F6" s="6" t="n">
        <v>2</v>
      </c>
      <c r="G6" s="6" t="inlineStr">
        <is>
          <t>0/2</t>
        </is>
      </c>
      <c r="H6" s="6" t="inlineStr">
        <is>
          <t>4.0</t>
        </is>
      </c>
      <c r="I6" s="6" t="inlineStr">
        <is>
          <t>1.5</t>
        </is>
      </c>
    </row>
    <row r="7">
      <c r="B7" s="7" t="inlineStr">
        <is>
          <t>Compressor Station Upgrade</t>
        </is>
      </c>
      <c r="C7" s="7" t="inlineStr">
        <is>
          <t>Ongoing</t>
        </is>
      </c>
      <c r="D7" s="7" t="inlineStr">
        <is>
          <t>In Progress</t>
        </is>
      </c>
      <c r="E7" s="7" t="inlineStr">
        <is>
          <t>P1 – Urgent</t>
        </is>
      </c>
      <c r="F7" s="7" t="n">
        <v>3</v>
      </c>
      <c r="G7" s="7" t="inlineStr">
        <is>
          <t>0/3</t>
        </is>
      </c>
      <c r="H7" s="7" t="inlineStr">
        <is>
          <t>12.0</t>
        </is>
      </c>
      <c r="I7" s="7" t="inlineStr">
        <is>
          <t>3.5</t>
        </is>
      </c>
    </row>
    <row r="8">
      <c r="B8" s="6" t="inlineStr">
        <is>
          <t>SCADA System Migration</t>
        </is>
      </c>
      <c r="C8" s="6" t="inlineStr">
        <is>
          <t>Ongoing</t>
        </is>
      </c>
      <c r="D8" s="6" t="inlineStr">
        <is>
          <t>In Progress</t>
        </is>
      </c>
      <c r="E8" s="6" t="inlineStr">
        <is>
          <t>P2 – High</t>
        </is>
      </c>
      <c r="F8" s="6" t="n">
        <v>2</v>
      </c>
      <c r="G8" s="6" t="inlineStr">
        <is>
          <t>1/2</t>
        </is>
      </c>
      <c r="H8" s="6" t="inlineStr">
        <is>
          <t>13.0</t>
        </is>
      </c>
      <c r="I8" s="6" t="inlineStr">
        <is>
          <t>11.0</t>
        </is>
      </c>
    </row>
    <row r="10">
      <c r="B10" s="5" t="inlineStr">
        <is>
          <t>Weekly Schedule</t>
        </is>
      </c>
    </row>
    <row r="11">
      <c r="B11" s="2" t="inlineStr">
        <is>
          <t>Priority</t>
        </is>
      </c>
      <c r="C11" s="2" t="inlineStr">
        <is>
          <t>Mon 04/13</t>
        </is>
      </c>
      <c r="D11" s="2" t="inlineStr">
        <is>
          <t>Tue 04/14</t>
        </is>
      </c>
      <c r="E11" s="2" t="inlineStr">
        <is>
          <t>Wed 04/15</t>
        </is>
      </c>
      <c r="F11" s="2" t="inlineStr">
        <is>
          <t>Thu 04/16</t>
        </is>
      </c>
      <c r="G11" s="2" t="inlineStr">
        <is>
          <t>Fri 04/17</t>
        </is>
      </c>
      <c r="H11" s="2" t="inlineStr">
        <is>
          <t>Sat 04/18</t>
        </is>
      </c>
      <c r="I11" s="2" t="inlineStr">
        <is>
          <t>Sun 04/19</t>
        </is>
      </c>
    </row>
    <row r="12">
      <c r="B12" s="8" t="inlineStr">
        <is>
          <t>P1 – Urgent</t>
        </is>
      </c>
      <c r="C12" s="9" t="inlineStr">
        <is>
          <t>Complete safety audit checklist
Commission new VFD units</t>
        </is>
      </c>
      <c r="D12" s="10" t="inlineStr"/>
      <c r="E12" s="11" t="inlineStr"/>
      <c r="F12" s="10" t="inlineStr"/>
      <c r="G12" s="11" t="inlineStr"/>
      <c r="H12" s="10" t="inlineStr"/>
      <c r="I12" s="11" t="inlineStr"/>
    </row>
    <row r="13">
      <c r="B13" s="8" t="inlineStr">
        <is>
          <t>P2 – High</t>
        </is>
      </c>
      <c r="C13" s="10" t="inlineStr"/>
      <c r="D13" s="9" t="inlineStr">
        <is>
          <t>Build Ignition overview screens for South Site</t>
        </is>
      </c>
      <c r="E13" s="12" t="inlineStr">
        <is>
          <t>Run control wiring for Phase 2</t>
        </is>
      </c>
      <c r="F13" s="11" t="inlineStr"/>
      <c r="G13" s="10" t="inlineStr"/>
      <c r="H13" s="11" t="inlineStr"/>
      <c r="I13" s="10" t="inlineStr"/>
    </row>
    <row r="14">
      <c r="B14" s="8" t="inlineStr">
        <is>
          <t>P3 – Medium</t>
        </is>
      </c>
      <c r="C14" s="11" t="inlineStr"/>
      <c r="D14" s="10" t="inlineStr"/>
      <c r="E14" s="11" t="inlineStr"/>
      <c r="F14" s="12" t="inlineStr">
        <is>
          <t>Update project tracking spreadsheet
Update PLC program for new VFDs</t>
        </is>
      </c>
      <c r="G14" s="11" t="inlineStr"/>
      <c r="H14" s="10" t="inlineStr"/>
      <c r="I14" s="11" t="inlineStr"/>
    </row>
    <row r="15">
      <c r="B15" s="8" t="inlineStr">
        <is>
          <t>P4 – Low</t>
        </is>
      </c>
      <c r="C15" s="10" t="inlineStr"/>
      <c r="D15" s="11" t="inlineStr"/>
      <c r="E15" s="10" t="inlineStr"/>
      <c r="F15" s="12" t="inlineStr">
        <is>
          <t>Configure historian for South Site tags</t>
        </is>
      </c>
      <c r="G15" s="10" t="inlineStr"/>
      <c r="H15" s="11" t="inlineStr"/>
      <c r="I15" s="10" t="inlineStr"/>
    </row>
    <row r="16">
      <c r="B16" s="8" t="inlineStr">
        <is>
          <t>P5 – Background</t>
        </is>
      </c>
      <c r="C16" s="11" t="inlineStr"/>
      <c r="D16" s="10" t="inlineStr"/>
      <c r="E16" s="11" t="inlineStr"/>
      <c r="F16" s="10" t="inlineStr"/>
      <c r="G16" s="11" t="inlineStr"/>
      <c r="H16" s="10" t="inlineStr"/>
      <c r="I16" s="11" t="inlineStr"/>
    </row>
    <row r="18">
      <c r="B18" s="5" t="inlineStr">
        <is>
          <t>Time Overview</t>
        </is>
      </c>
    </row>
    <row r="19">
      <c r="B19" s="2" t="inlineStr">
        <is>
          <t>Project</t>
        </is>
      </c>
      <c r="C19" s="2" t="inlineStr">
        <is>
          <t>Allocated (hrs)</t>
        </is>
      </c>
      <c r="D19" s="2" t="inlineStr">
        <is>
          <t>Spent (hrs)</t>
        </is>
      </c>
      <c r="E19" s="2" t="inlineStr">
        <is>
          <t>Remaining (hrs)</t>
        </is>
      </c>
      <c r="F19" s="2" t="inlineStr">
        <is>
          <t>Utilization %</t>
        </is>
      </c>
    </row>
    <row r="20">
      <c r="B20" s="6" t="inlineStr">
        <is>
          <t>Weekly Site Operations</t>
        </is>
      </c>
      <c r="C20" s="6" t="inlineStr">
        <is>
          <t>4.0</t>
        </is>
      </c>
      <c r="D20" s="6" t="inlineStr">
        <is>
          <t>1.5</t>
        </is>
      </c>
      <c r="E20" s="6" t="inlineStr">
        <is>
          <t>2.5</t>
        </is>
      </c>
      <c r="F20" s="6" t="inlineStr">
        <is>
          <t>38%</t>
        </is>
      </c>
    </row>
    <row r="21">
      <c r="B21" s="7" t="inlineStr">
        <is>
          <t>Compressor Station Upgrade</t>
        </is>
      </c>
      <c r="C21" s="7" t="inlineStr">
        <is>
          <t>12.0</t>
        </is>
      </c>
      <c r="D21" s="7" t="inlineStr">
        <is>
          <t>3.5</t>
        </is>
      </c>
      <c r="E21" s="7" t="inlineStr">
        <is>
          <t>8.5</t>
        </is>
      </c>
      <c r="F21" s="7" t="inlineStr">
        <is>
          <t>29%</t>
        </is>
      </c>
    </row>
    <row r="22">
      <c r="B22" s="6" t="inlineStr">
        <is>
          <t>SCADA System Migration</t>
        </is>
      </c>
      <c r="C22" s="6" t="inlineStr">
        <is>
          <t>13.0</t>
        </is>
      </c>
      <c r="D22" s="6" t="inlineStr">
        <is>
          <t>11.0</t>
        </is>
      </c>
      <c r="E22" s="6" t="inlineStr">
        <is>
          <t>2.0</t>
        </is>
      </c>
      <c r="F22" s="6" t="inlineStr">
        <is>
          <t>85%</t>
        </is>
      </c>
    </row>
    <row r="23">
      <c r="B23" s="13" t="inlineStr">
        <is>
          <t>TOTAL</t>
        </is>
      </c>
      <c r="C23" s="13" t="inlineStr">
        <is>
          <t>29.0</t>
        </is>
      </c>
      <c r="D23" s="13" t="inlineStr">
        <is>
          <t>16.0</t>
        </is>
      </c>
      <c r="E23" s="13" t="inlineStr">
        <is>
          <t>13.0</t>
        </is>
      </c>
      <c r="F23" s="13" t="inlineStr">
        <is>
          <t>55%</t>
        </is>
      </c>
    </row>
    <row r="25">
      <c r="B25" s="5" t="inlineStr">
        <is>
          <t>Upcoming Deadlines (Next 14 Days)</t>
        </is>
      </c>
    </row>
    <row r="26">
      <c r="B26" s="2" t="inlineStr">
        <is>
          <t>Deadline</t>
        </is>
      </c>
      <c r="C26" s="2" t="inlineStr">
        <is>
          <t>Item</t>
        </is>
      </c>
      <c r="D26" s="2" t="inlineStr">
        <is>
          <t>Status</t>
        </is>
      </c>
      <c r="E26" s="2" t="inlineStr">
        <is>
          <t>Parent</t>
        </is>
      </c>
    </row>
    <row r="27">
      <c r="B27" s="6" t="inlineStr">
        <is>
          <t>2026-04-15</t>
        </is>
      </c>
      <c r="C27" s="6" t="inlineStr">
        <is>
          <t>Follow up with electrical vendor</t>
        </is>
      </c>
      <c r="D27" s="6" t="inlineStr">
        <is>
          <t>On Hold</t>
        </is>
      </c>
      <c r="E27" s="6" t="inlineStr">
        <is>
          <t>Weekly Site Operations</t>
        </is>
      </c>
    </row>
    <row r="28">
      <c r="B28" s="7" t="inlineStr">
        <is>
          <t>2026-04-15</t>
        </is>
      </c>
      <c r="C28" s="7" t="inlineStr">
        <is>
          <t>OPC tag mapping spreadsheet</t>
        </is>
      </c>
      <c r="D28" s="7" t="inlineStr">
        <is>
          <t>In Progress</t>
        </is>
      </c>
      <c r="E28" s="7" t="inlineStr">
        <is>
          <t>Build Ignition overview screens for South Site</t>
        </is>
      </c>
    </row>
    <row r="29">
      <c r="B29" s="6" t="inlineStr">
        <is>
          <t>2026-04-17</t>
        </is>
      </c>
      <c r="C29" s="6" t="inlineStr">
        <is>
          <t>Update project tracking spreadsheet</t>
        </is>
      </c>
      <c r="D29" s="6" t="inlineStr">
        <is>
          <t>Not Started</t>
        </is>
      </c>
      <c r="E29" s="6" t="inlineStr">
        <is>
          <t>Weekly Site Operations</t>
        </is>
      </c>
    </row>
    <row r="30">
      <c r="B30" s="7" t="inlineStr">
        <is>
          <t>2026-04-18</t>
        </is>
      </c>
      <c r="C30" s="7" t="inlineStr">
        <is>
          <t>Complete safety audit checklist</t>
        </is>
      </c>
      <c r="D30" s="7" t="inlineStr">
        <is>
          <t>In Progress</t>
        </is>
      </c>
      <c r="E30" s="7" t="inlineStr">
        <is>
          <t>Weekly Site Operations</t>
        </is>
      </c>
    </row>
    <row r="31">
      <c r="B31" s="6" t="inlineStr">
        <is>
          <t>2026-04-18</t>
        </is>
      </c>
      <c r="C31" s="6" t="inlineStr">
        <is>
          <t>Safety audit report</t>
        </is>
      </c>
      <c r="D31" s="6" t="inlineStr">
        <is>
          <t>In Progress</t>
        </is>
      </c>
      <c r="E31" s="6" t="inlineStr">
        <is>
          <t>Complete safety audit checklist</t>
        </is>
      </c>
    </row>
    <row r="32">
      <c r="B32" s="7" t="inlineStr">
        <is>
          <t>2026-04-18</t>
        </is>
      </c>
      <c r="C32" s="7" t="inlineStr">
        <is>
          <t>Photo documentation log</t>
        </is>
      </c>
      <c r="D32" s="7" t="inlineStr">
        <is>
          <t>Not Started</t>
        </is>
      </c>
      <c r="E32" s="7" t="inlineStr">
        <is>
          <t>Complete safety audit checklist</t>
        </is>
      </c>
    </row>
    <row r="33">
      <c r="B33" s="6" t="inlineStr">
        <is>
          <t>2026-04-20</t>
        </is>
      </c>
      <c r="C33" s="6" t="inlineStr">
        <is>
          <t>Cable pull schedule</t>
        </is>
      </c>
      <c r="D33" s="6" t="inlineStr">
        <is>
          <t>In Progress</t>
        </is>
      </c>
      <c r="E33" s="6" t="inlineStr">
        <is>
          <t>Run control wiring for Phase 2</t>
        </is>
      </c>
    </row>
  </sheetData>
  <mergeCells count="6">
    <mergeCell ref="B18:I18"/>
    <mergeCell ref="B25:I25"/>
    <mergeCell ref="B2:I2"/>
    <mergeCell ref="B10:I10"/>
    <mergeCell ref="B1:I1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36BBF"/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20" customWidth="1" min="4" max="4"/>
    <col width="18" customWidth="1" min="5" max="5"/>
    <col width="40" customWidth="1" min="6" max="6"/>
    <col width="14" customWidth="1" min="7" max="7"/>
    <col width="10" customWidth="1" min="8" max="8"/>
    <col width="14" customWidth="1" min="9" max="9"/>
    <col width="14" customWidth="1" min="10" max="10"/>
    <col width="14" customWidth="1" min="11" max="11"/>
    <col width="16" customWidth="1" min="12" max="12"/>
    <col width="40" customWidth="1" min="13" max="13"/>
  </cols>
  <sheetData>
    <row r="1">
      <c r="A1" s="2" t="inlineStr">
        <is>
          <t>Project 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Supervisor</t>
        </is>
      </c>
      <c r="E1" s="2" t="inlineStr">
        <is>
          <t>Site</t>
        </is>
      </c>
      <c r="F1" s="2" t="inlineStr">
        <is>
          <t>Description</t>
        </is>
      </c>
      <c r="G1" s="2" t="inlineStr">
        <is>
          <t>Status</t>
        </is>
      </c>
      <c r="H1" s="2" t="inlineStr">
        <is>
          <t>Priority</t>
        </is>
      </c>
      <c r="I1" s="2" t="inlineStr">
        <is>
          <t>Start Date</t>
        </is>
      </c>
      <c r="J1" s="2" t="inlineStr">
        <is>
          <t>End Date</t>
        </is>
      </c>
      <c r="K1" s="2" t="inlineStr">
        <is>
          <t>Deadline</t>
        </is>
      </c>
      <c r="L1" s="2" t="inlineStr">
        <is>
          <t>Date Completed</t>
        </is>
      </c>
      <c r="M1" s="2" t="inlineStr">
        <is>
          <t>Notes</t>
        </is>
      </c>
    </row>
    <row r="2">
      <c r="A2" t="inlineStr">
        <is>
          <t>P-001</t>
        </is>
      </c>
      <c r="B2" t="inlineStr">
        <is>
          <t>Weekly Site Operations</t>
        </is>
      </c>
      <c r="C2" t="inlineStr">
        <is>
          <t>Weekly</t>
        </is>
      </c>
      <c r="D2" t="inlineStr">
        <is>
          <t>Jane Smith</t>
        </is>
      </c>
      <c r="E2" t="inlineStr">
        <is>
          <t>North Plant</t>
        </is>
      </c>
      <c r="F2" t="inlineStr">
        <is>
          <t>Routine weekly operational tasks across all sites.</t>
        </is>
      </c>
      <c r="G2" t="inlineStr">
        <is>
          <t>In Progress</t>
        </is>
      </c>
      <c r="H2" t="n">
        <v>2</v>
      </c>
      <c r="I2" s="3" t="n">
        <v>46082</v>
      </c>
      <c r="M2" t="inlineStr">
        <is>
          <t>Primary weekly workload — reviewed every Monday.</t>
        </is>
      </c>
    </row>
    <row r="3">
      <c r="A3" t="inlineStr">
        <is>
          <t>P-002</t>
        </is>
      </c>
      <c r="B3" t="inlineStr">
        <is>
          <t>Compressor Station Upgrade</t>
        </is>
      </c>
      <c r="C3" t="inlineStr">
        <is>
          <t>Ongoing</t>
        </is>
      </c>
      <c r="D3" t="inlineStr">
        <is>
          <t>Bob Martinez</t>
        </is>
      </c>
      <c r="E3" t="inlineStr">
        <is>
          <t>South Site</t>
        </is>
      </c>
      <c r="F3" t="inlineStr">
        <is>
          <t>Multi-phase upgrade of the south site compressor station — new VFDs and control wiring.</t>
        </is>
      </c>
      <c r="G3" t="inlineStr">
        <is>
          <t>In Progress</t>
        </is>
      </c>
      <c r="H3" t="n">
        <v>1</v>
      </c>
      <c r="I3" s="3" t="n">
        <v>46096</v>
      </c>
      <c r="J3" s="3" t="n">
        <v>46203</v>
      </c>
      <c r="K3" s="3" t="n">
        <v>46203</v>
      </c>
      <c r="M3" t="inlineStr">
        <is>
          <t>Budget approved Q1. Phase 1 VFD install complete. Phase 2 wiring in progress.</t>
        </is>
      </c>
    </row>
    <row r="4">
      <c r="A4" t="inlineStr">
        <is>
          <t>P-003</t>
        </is>
      </c>
      <c r="B4" t="inlineStr">
        <is>
          <t>SCADA System Migration</t>
        </is>
      </c>
      <c r="C4" t="inlineStr">
        <is>
          <t>Ongoing</t>
        </is>
      </c>
      <c r="D4" t="inlineStr">
        <is>
          <t>Jane Smith</t>
        </is>
      </c>
      <c r="E4" t="inlineStr">
        <is>
          <t>All Sites</t>
        </is>
      </c>
      <c r="F4" t="inlineStr">
        <is>
          <t>Migrate legacy SCADA displays from FactoryTalk to Ignition platform.</t>
        </is>
      </c>
      <c r="G4" t="inlineStr">
        <is>
          <t>In Progress</t>
        </is>
      </c>
      <c r="H4" t="n">
        <v>2</v>
      </c>
      <c r="I4" s="3" t="n">
        <v>46054</v>
      </c>
      <c r="J4" s="3" t="n">
        <v>46295</v>
      </c>
      <c r="K4" s="3" t="n">
        <v>46295</v>
      </c>
      <c r="M4" t="inlineStr">
        <is>
          <t>Phase 1 (North Plant) complete. Phase 2 (South Site) in progress. Phase 3 (East Facility) planned Q3.</t>
        </is>
      </c>
    </row>
    <row r="5">
      <c r="A5" t="inlineStr">
        <is>
          <t>P-004</t>
        </is>
      </c>
      <c r="B5" t="inlineStr">
        <is>
          <t>Operator Training Documentation</t>
        </is>
      </c>
      <c r="C5" t="inlineStr">
        <is>
          <t>Completed</t>
        </is>
      </c>
      <c r="D5" t="inlineStr">
        <is>
          <t>Bob Martinez</t>
        </is>
      </c>
      <c r="E5" t="inlineStr">
        <is>
          <t>North Plant</t>
        </is>
      </c>
      <c r="F5" t="inlineStr">
        <is>
          <t>Create training materials for new control systems.</t>
        </is>
      </c>
      <c r="G5" t="inlineStr">
        <is>
          <t>Completed</t>
        </is>
      </c>
      <c r="H5" t="n">
        <v>3</v>
      </c>
      <c r="I5" s="3" t="n">
        <v>46054</v>
      </c>
      <c r="J5" s="3" t="n">
        <v>46109</v>
      </c>
      <c r="K5" s="3" t="n">
        <v>46113</v>
      </c>
      <c r="L5" s="3" t="n">
        <v>46109</v>
      </c>
      <c r="M5" t="inlineStr">
        <is>
          <t>All training delivered. Positive ops feedback received.</t>
        </is>
      </c>
    </row>
  </sheetData>
  <dataValidations count="1">
    <dataValidation sqref="C2:C1000" showDropDown="0" showInputMessage="0" showErrorMessage="0" allowBlank="1" errorTitle="Invalid Value" error="Please select from: Weekly, Ongoing, Completed" type="list">
      <formula1>"Weekly,Ongoing,Completed"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36BBF"/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0" customWidth="1" min="4" max="4"/>
    <col width="20" customWidth="1" min="5" max="5"/>
    <col width="18" customWidth="1" min="6" max="6"/>
    <col width="14" customWidth="1" min="7" max="7"/>
    <col width="10" customWidth="1" min="8" max="8"/>
    <col width="14" customWidth="1" min="9" max="9"/>
    <col width="14" customWidth="1" min="10" max="10"/>
    <col width="14" customWidth="1" min="11" max="11"/>
    <col width="40" customWidth="1" min="12" max="12"/>
    <col width="16" customWidth="1" min="13" max="13"/>
    <col width="14" customWidth="1" min="14" max="14"/>
  </cols>
  <sheetData>
    <row r="1">
      <c r="A1" s="2" t="inlineStr">
        <is>
          <t>Task ID</t>
        </is>
      </c>
      <c r="B1" s="2" t="inlineStr">
        <is>
          <t>Project ID</t>
        </is>
      </c>
      <c r="C1" s="2" t="inlineStr">
        <is>
          <t>Title</t>
        </is>
      </c>
      <c r="D1" s="2" t="inlineStr">
        <is>
          <t>Description</t>
        </is>
      </c>
      <c r="E1" s="2" t="inlineStr">
        <is>
          <t>Supervisor</t>
        </is>
      </c>
      <c r="F1" s="2" t="inlineStr">
        <is>
          <t>Site</t>
        </is>
      </c>
      <c r="G1" s="2" t="inlineStr">
        <is>
          <t>Status</t>
        </is>
      </c>
      <c r="H1" s="2" t="inlineStr">
        <is>
          <t>Priority</t>
        </is>
      </c>
      <c r="I1" s="2" t="inlineStr">
        <is>
          <t>Start Date</t>
        </is>
      </c>
      <c r="J1" s="2" t="inlineStr">
        <is>
          <t>End Date</t>
        </is>
      </c>
      <c r="K1" s="2" t="inlineStr">
        <is>
          <t>Deadline</t>
        </is>
      </c>
      <c r="L1" s="2" t="inlineStr">
        <is>
          <t>Status Commentary</t>
        </is>
      </c>
      <c r="M1" s="2" t="inlineStr">
        <is>
          <t>Date Completed</t>
        </is>
      </c>
      <c r="N1" s="2" t="inlineStr">
        <is>
          <t>Scheduled Date</t>
        </is>
      </c>
    </row>
    <row r="2">
      <c r="A2" t="inlineStr">
        <is>
          <t>T-001</t>
        </is>
      </c>
      <c r="B2" t="inlineStr">
        <is>
          <t>P-001</t>
        </is>
      </c>
      <c r="C2" t="inlineStr">
        <is>
          <t>Complete safety audit checklist</t>
        </is>
      </c>
      <c r="D2" t="inlineStr">
        <is>
          <t>Walk through all safety checkpoints in the north plant control room.</t>
        </is>
      </c>
      <c r="E2" t="inlineStr">
        <is>
          <t>Jane Smith</t>
        </is>
      </c>
      <c r="F2" t="inlineStr">
        <is>
          <t>North Plant</t>
        </is>
      </c>
      <c r="G2" t="inlineStr">
        <is>
          <t>In Progress</t>
        </is>
      </c>
      <c r="H2" t="n">
        <v>1</v>
      </c>
      <c r="I2" s="3" t="n">
        <v>46125</v>
      </c>
      <c r="J2" s="3" t="n">
        <v>46130</v>
      </c>
      <c r="K2" s="3" t="n">
        <v>46130</v>
      </c>
      <c r="L2" t="inlineStr">
        <is>
          <t>Started Monday — two sections remaining.</t>
        </is>
      </c>
      <c r="N2" s="3" t="n">
        <v>46125</v>
      </c>
    </row>
    <row r="3">
      <c r="A3" t="inlineStr">
        <is>
          <t>T-002</t>
        </is>
      </c>
      <c r="B3" t="inlineStr">
        <is>
          <t>P-001</t>
        </is>
      </c>
      <c r="C3" t="inlineStr">
        <is>
          <t>Update project tracking spreadsheet</t>
        </is>
      </c>
      <c r="D3" t="inlineStr">
        <is>
          <t>Refresh hours, status, and notes for all active tasks.</t>
        </is>
      </c>
      <c r="E3" t="inlineStr">
        <is>
          <t>Jane Smith</t>
        </is>
      </c>
      <c r="F3" t="inlineStr">
        <is>
          <t>North Plant</t>
        </is>
      </c>
      <c r="G3" t="inlineStr">
        <is>
          <t>Not Started</t>
        </is>
      </c>
      <c r="H3" t="n">
        <v>3</v>
      </c>
      <c r="I3" s="3" t="n">
        <v>46126</v>
      </c>
      <c r="J3" s="3" t="n">
        <v>46129</v>
      </c>
      <c r="K3" s="3" t="n">
        <v>46129</v>
      </c>
      <c r="L3" t="inlineStr"/>
      <c r="N3" s="3" t="n">
        <v>46128</v>
      </c>
    </row>
    <row r="4">
      <c r="A4" t="inlineStr">
        <is>
          <t>T-003</t>
        </is>
      </c>
      <c r="B4" t="inlineStr">
        <is>
          <t>P-001</t>
        </is>
      </c>
      <c r="C4" t="inlineStr">
        <is>
          <t>Follow up with electrical vendor</t>
        </is>
      </c>
      <c r="D4" t="inlineStr">
        <is>
          <t>Email vendor about delayed panel delivery and get revised ETA.</t>
        </is>
      </c>
      <c r="E4" t="inlineStr">
        <is>
          <t>Jane Smith</t>
        </is>
      </c>
      <c r="F4" t="inlineStr">
        <is>
          <t>North Plant</t>
        </is>
      </c>
      <c r="G4" t="inlineStr">
        <is>
          <t>On Hold</t>
        </is>
      </c>
      <c r="H4" t="n">
        <v>2</v>
      </c>
      <c r="I4" s="3" t="n">
        <v>46125</v>
      </c>
      <c r="J4" s="3" t="n">
        <v>46127</v>
      </c>
      <c r="K4" s="3" t="n">
        <v>46127</v>
      </c>
      <c r="L4" t="inlineStr">
        <is>
          <t>Vendor out of office until Wednesday — will follow up Thursday.</t>
        </is>
      </c>
    </row>
    <row r="5">
      <c r="A5" t="inlineStr">
        <is>
          <t>T-004</t>
        </is>
      </c>
      <c r="B5" t="inlineStr">
        <is>
          <t>P-002</t>
        </is>
      </c>
      <c r="C5" t="inlineStr">
        <is>
          <t>Commission new VFD units</t>
        </is>
      </c>
      <c r="D5" t="inlineStr">
        <is>
          <t>Power up, configure parameters, and verify operation of 3x VFD units.</t>
        </is>
      </c>
      <c r="E5" t="inlineStr">
        <is>
          <t>Bob Martinez</t>
        </is>
      </c>
      <c r="F5" t="inlineStr">
        <is>
          <t>South Site</t>
        </is>
      </c>
      <c r="G5" t="inlineStr">
        <is>
          <t>In Progress</t>
        </is>
      </c>
      <c r="H5" t="n">
        <v>1</v>
      </c>
      <c r="I5" s="3" t="n">
        <v>46113</v>
      </c>
      <c r="J5" s="3" t="n">
        <v>46143</v>
      </c>
      <c r="K5" s="3" t="n">
        <v>46143</v>
      </c>
      <c r="L5" t="inlineStr">
        <is>
          <t>Unit 1 commissioned. Units 2 and 3 scheduled this week.</t>
        </is>
      </c>
      <c r="N5" s="3" t="n">
        <v>46125</v>
      </c>
    </row>
    <row r="6">
      <c r="A6" t="inlineStr">
        <is>
          <t>T-005</t>
        </is>
      </c>
      <c r="B6" t="inlineStr">
        <is>
          <t>P-002</t>
        </is>
      </c>
      <c r="C6" t="inlineStr">
        <is>
          <t>Run control wiring for Phase 2</t>
        </is>
      </c>
      <c r="D6" t="inlineStr">
        <is>
          <t>Pull cable, terminate, and label all control wiring between VFD room and MCC.</t>
        </is>
      </c>
      <c r="E6" t="inlineStr">
        <is>
          <t>Bob Martinez</t>
        </is>
      </c>
      <c r="F6" t="inlineStr">
        <is>
          <t>South Site</t>
        </is>
      </c>
      <c r="G6" t="inlineStr">
        <is>
          <t>Not Started</t>
        </is>
      </c>
      <c r="H6" t="n">
        <v>2</v>
      </c>
      <c r="I6" s="3" t="n">
        <v>46127</v>
      </c>
      <c r="J6" s="3" t="n">
        <v>46172</v>
      </c>
      <c r="K6" s="3" t="n">
        <v>46172</v>
      </c>
      <c r="L6" t="inlineStr">
        <is>
          <t>Waiting on cable tray install — expected by April 15.</t>
        </is>
      </c>
      <c r="N6" s="3" t="n">
        <v>46127</v>
      </c>
    </row>
    <row r="7">
      <c r="A7" t="inlineStr">
        <is>
          <t>T-006</t>
        </is>
      </c>
      <c r="B7" t="inlineStr">
        <is>
          <t>P-002</t>
        </is>
      </c>
      <c r="C7" t="inlineStr">
        <is>
          <t>Update PLC program for new VFDs</t>
        </is>
      </c>
      <c r="D7" t="inlineStr">
        <is>
          <t>Add Modbus comms blocks and interlock logic for 3 new VFD drives.</t>
        </is>
      </c>
      <c r="E7" t="inlineStr">
        <is>
          <t>Bob Martinez</t>
        </is>
      </c>
      <c r="F7" t="inlineStr">
        <is>
          <t>South Site</t>
        </is>
      </c>
      <c r="G7" t="inlineStr">
        <is>
          <t>Not Started</t>
        </is>
      </c>
      <c r="H7" t="n">
        <v>3</v>
      </c>
      <c r="I7" s="3" t="n">
        <v>46132</v>
      </c>
      <c r="J7" s="3" t="n">
        <v>46157</v>
      </c>
      <c r="K7" s="3" t="n">
        <v>46157</v>
      </c>
      <c r="L7" t="inlineStr"/>
      <c r="N7" s="3" t="n">
        <v>46128</v>
      </c>
    </row>
    <row r="8">
      <c r="A8" t="inlineStr">
        <is>
          <t>T-007</t>
        </is>
      </c>
      <c r="B8" t="inlineStr">
        <is>
          <t>P-003</t>
        </is>
      </c>
      <c r="C8" t="inlineStr">
        <is>
          <t>Build Ignition overview screens for South Site</t>
        </is>
      </c>
      <c r="D8" t="inlineStr">
        <is>
          <t>Recreate the 12 main process overview screens in Ignition Perspective.</t>
        </is>
      </c>
      <c r="E8" t="inlineStr">
        <is>
          <t>Jane Smith</t>
        </is>
      </c>
      <c r="F8" t="inlineStr">
        <is>
          <t>South Site</t>
        </is>
      </c>
      <c r="G8" t="inlineStr">
        <is>
          <t>In Progress</t>
        </is>
      </c>
      <c r="H8" t="n">
        <v>2</v>
      </c>
      <c r="I8" s="3" t="n">
        <v>46096</v>
      </c>
      <c r="J8" s="3" t="n">
        <v>46172</v>
      </c>
      <c r="K8" s="3" t="n">
        <v>46172</v>
      </c>
      <c r="L8" t="inlineStr">
        <is>
          <t>8 of 12 screens recreated. Remaining 4 are alarm summary and trending pages.</t>
        </is>
      </c>
      <c r="N8" s="3" t="n">
        <v>46126</v>
      </c>
    </row>
    <row r="9">
      <c r="A9" t="inlineStr">
        <is>
          <t>T-008</t>
        </is>
      </c>
      <c r="B9" t="inlineStr">
        <is>
          <t>P-003</t>
        </is>
      </c>
      <c r="C9" t="inlineStr">
        <is>
          <t>Configure historian for South Site tags</t>
        </is>
      </c>
      <c r="D9" t="inlineStr">
        <is>
          <t>Set up tag history in Ignition for all critical process variables.</t>
        </is>
      </c>
      <c r="E9" t="inlineStr">
        <is>
          <t>Jane Smith</t>
        </is>
      </c>
      <c r="F9" t="inlineStr">
        <is>
          <t>South Site</t>
        </is>
      </c>
      <c r="G9" t="inlineStr">
        <is>
          <t>Not Started</t>
        </is>
      </c>
      <c r="H9" t="n">
        <v>4</v>
      </c>
      <c r="I9" s="3" t="n">
        <v>46143</v>
      </c>
      <c r="J9" s="3" t="n">
        <v>46188</v>
      </c>
      <c r="K9" s="3" t="n">
        <v>46188</v>
      </c>
      <c r="L9" t="inlineStr">
        <is>
          <t>Blocked until tag mapping is finalized.</t>
        </is>
      </c>
      <c r="N9" s="3" t="n">
        <v>46128</v>
      </c>
    </row>
    <row r="10">
      <c r="A10" t="inlineStr">
        <is>
          <t>T-009</t>
        </is>
      </c>
      <c r="B10" t="inlineStr">
        <is>
          <t>P-004</t>
        </is>
      </c>
      <c r="C10" t="inlineStr">
        <is>
          <t>Write standard operating procedures</t>
        </is>
      </c>
      <c r="D10" t="inlineStr">
        <is>
          <t>Draft and review SOPs for the 5 new control system processes.</t>
        </is>
      </c>
      <c r="E10" t="inlineStr">
        <is>
          <t>Bob Martinez</t>
        </is>
      </c>
      <c r="F10" t="inlineStr">
        <is>
          <t>North Plant</t>
        </is>
      </c>
      <c r="G10" t="inlineStr">
        <is>
          <t>Completed</t>
        </is>
      </c>
      <c r="H10" t="n">
        <v>2</v>
      </c>
      <c r="I10" s="3" t="n">
        <v>46054</v>
      </c>
      <c r="J10" s="3" t="n">
        <v>46095</v>
      </c>
      <c r="K10" s="3" t="n">
        <v>46096</v>
      </c>
      <c r="L10" t="inlineStr">
        <is>
          <t>All 5 SOPs approved and filed.</t>
        </is>
      </c>
      <c r="M10" s="3" t="n">
        <v>46095</v>
      </c>
    </row>
    <row r="11">
      <c r="A11" t="inlineStr">
        <is>
          <t>T-010</t>
        </is>
      </c>
      <c r="B11" t="inlineStr">
        <is>
          <t>P-004</t>
        </is>
      </c>
      <c r="C11" t="inlineStr">
        <is>
          <t>Deliver operator training sessions</t>
        </is>
      </c>
      <c r="D11" t="inlineStr">
        <is>
          <t>Conduct 3 training sessions (2 hours each) for day and night shift operators.</t>
        </is>
      </c>
      <c r="E11" t="inlineStr">
        <is>
          <t>Bob Martinez</t>
        </is>
      </c>
      <c r="F11" t="inlineStr">
        <is>
          <t>North Plant</t>
        </is>
      </c>
      <c r="G11" t="inlineStr">
        <is>
          <t>Completed</t>
        </is>
      </c>
      <c r="H11" t="n">
        <v>2</v>
      </c>
      <c r="I11" s="3" t="n">
        <v>46098</v>
      </c>
      <c r="J11" s="3" t="n">
        <v>46109</v>
      </c>
      <c r="K11" s="3" t="n">
        <v>46109</v>
      </c>
      <c r="L11" t="inlineStr">
        <is>
          <t>All 3 sessions delivered. Attendance sheets filed.</t>
        </is>
      </c>
      <c r="M11" s="3" t="n">
        <v>46109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36BBF"/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  <col width="14" customWidth="1" min="11" max="11"/>
  </cols>
  <sheetData>
    <row r="1">
      <c r="A1" s="2" t="inlineStr">
        <is>
          <t>Deliverable ID</t>
        </is>
      </c>
      <c r="B1" s="2" t="inlineStr">
        <is>
          <t>Task ID</t>
        </is>
      </c>
      <c r="C1" s="2" t="inlineStr">
        <is>
          <t>Title</t>
        </is>
      </c>
      <c r="D1" s="2" t="inlineStr">
        <is>
          <t>Description</t>
        </is>
      </c>
      <c r="E1" s="2" t="inlineStr">
        <is>
          <t>Status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Deadline</t>
        </is>
      </c>
      <c r="I1" s="2" t="inlineStr">
        <is>
          <t>% Complete</t>
        </is>
      </c>
      <c r="J1" s="2" t="inlineStr">
        <is>
          <t>Time Allocated</t>
        </is>
      </c>
      <c r="K1" s="2" t="inlineStr">
        <is>
          <t>Time Spent</t>
        </is>
      </c>
    </row>
    <row r="2">
      <c r="A2" t="inlineStr">
        <is>
          <t>D-001</t>
        </is>
      </c>
      <c r="B2" t="inlineStr">
        <is>
          <t>T-001</t>
        </is>
      </c>
      <c r="C2" t="inlineStr">
        <is>
          <t>Safety audit report</t>
        </is>
      </c>
      <c r="D2" t="inlineStr">
        <is>
          <t>PDF report summarizing all findings and corrective actions.</t>
        </is>
      </c>
      <c r="E2" t="inlineStr">
        <is>
          <t>In Progress</t>
        </is>
      </c>
      <c r="F2" s="3" t="n">
        <v>46125</v>
      </c>
      <c r="G2" s="3" t="n">
        <v>46129</v>
      </c>
      <c r="H2" s="3" t="n">
        <v>46130</v>
      </c>
      <c r="I2" t="n">
        <v>40</v>
      </c>
      <c r="J2" t="n">
        <v>3</v>
      </c>
      <c r="K2" t="n">
        <v>1.5</v>
      </c>
    </row>
    <row r="3">
      <c r="A3" t="inlineStr">
        <is>
          <t>D-002</t>
        </is>
      </c>
      <c r="B3" t="inlineStr">
        <is>
          <t>T-001</t>
        </is>
      </c>
      <c r="C3" t="inlineStr">
        <is>
          <t>Photo documentation log</t>
        </is>
      </c>
      <c r="D3" t="inlineStr">
        <is>
          <t>Timestamped photos of each inspection point.</t>
        </is>
      </c>
      <c r="E3" t="inlineStr">
        <is>
          <t>Not Started</t>
        </is>
      </c>
      <c r="F3" s="3" t="n">
        <v>46126</v>
      </c>
      <c r="G3" s="3" t="n">
        <v>46129</v>
      </c>
      <c r="H3" s="3" t="n">
        <v>46130</v>
      </c>
      <c r="I3" t="n">
        <v>0</v>
      </c>
      <c r="J3" t="n">
        <v>1</v>
      </c>
      <c r="K3" t="n">
        <v>0</v>
      </c>
    </row>
    <row r="4">
      <c r="A4" t="inlineStr">
        <is>
          <t>D-003</t>
        </is>
      </c>
      <c r="B4" t="inlineStr">
        <is>
          <t>T-004</t>
        </is>
      </c>
      <c r="C4" t="inlineStr">
        <is>
          <t>VFD commissioning record</t>
        </is>
      </c>
      <c r="D4" t="inlineStr">
        <is>
          <t>Test results and parameter settings for each unit.</t>
        </is>
      </c>
      <c r="E4" t="inlineStr">
        <is>
          <t>In Progress</t>
        </is>
      </c>
      <c r="F4" s="3" t="n">
        <v>46113</v>
      </c>
      <c r="G4" s="3" t="n">
        <v>46140</v>
      </c>
      <c r="H4" s="3" t="n">
        <v>46143</v>
      </c>
      <c r="I4" t="n">
        <v>33</v>
      </c>
      <c r="J4" t="n">
        <v>6</v>
      </c>
      <c r="K4" t="n">
        <v>2</v>
      </c>
    </row>
    <row r="5">
      <c r="A5" t="inlineStr">
        <is>
          <t>D-004</t>
        </is>
      </c>
      <c r="B5" t="inlineStr">
        <is>
          <t>T-005</t>
        </is>
      </c>
      <c r="C5" t="inlineStr">
        <is>
          <t>As-built wiring diagram</t>
        </is>
      </c>
      <c r="D5" t="inlineStr">
        <is>
          <t>Updated single-line and wiring diagrams reflecting actual field installation.</t>
        </is>
      </c>
      <c r="E5" t="inlineStr">
        <is>
          <t>Not Started</t>
        </is>
      </c>
      <c r="H5" s="3" t="n">
        <v>46172</v>
      </c>
      <c r="I5" t="n">
        <v>0</v>
      </c>
      <c r="J5" t="n">
        <v>4</v>
      </c>
      <c r="K5" t="n">
        <v>0</v>
      </c>
    </row>
    <row r="6">
      <c r="A6" t="inlineStr">
        <is>
          <t>D-005</t>
        </is>
      </c>
      <c r="B6" t="inlineStr">
        <is>
          <t>T-005</t>
        </is>
      </c>
      <c r="C6" t="inlineStr">
        <is>
          <t>Cable pull schedule</t>
        </is>
      </c>
      <c r="D6" t="inlineStr">
        <is>
          <t>List of all cables with from/to, length, and pull date.</t>
        </is>
      </c>
      <c r="E6" t="inlineStr">
        <is>
          <t>In Progress</t>
        </is>
      </c>
      <c r="F6" s="3" t="n">
        <v>46125</v>
      </c>
      <c r="G6" s="3" t="n">
        <v>46132</v>
      </c>
      <c r="H6" s="3" t="n">
        <v>46132</v>
      </c>
      <c r="I6" t="n">
        <v>60</v>
      </c>
      <c r="J6" t="n">
        <v>2</v>
      </c>
      <c r="K6" t="n">
        <v>1.5</v>
      </c>
    </row>
    <row r="7">
      <c r="A7" t="inlineStr">
        <is>
          <t>D-006</t>
        </is>
      </c>
      <c r="B7" t="inlineStr">
        <is>
          <t>T-007</t>
        </is>
      </c>
      <c r="C7" t="inlineStr">
        <is>
          <t>Screen design mockups</t>
        </is>
      </c>
      <c r="D7" t="inlineStr">
        <is>
          <t>PDF mockups of all 12 overview screens approved by operations.</t>
        </is>
      </c>
      <c r="E7" t="inlineStr">
        <is>
          <t>Completed</t>
        </is>
      </c>
      <c r="F7" s="3" t="n">
        <v>46096</v>
      </c>
      <c r="G7" s="3" t="n">
        <v>46113</v>
      </c>
      <c r="H7" s="3" t="n">
        <v>46113</v>
      </c>
      <c r="I7" t="n">
        <v>100</v>
      </c>
      <c r="J7" t="n">
        <v>8</v>
      </c>
      <c r="K7" t="n">
        <v>7.5</v>
      </c>
    </row>
    <row r="8">
      <c r="A8" t="inlineStr">
        <is>
          <t>D-007</t>
        </is>
      </c>
      <c r="B8" t="inlineStr">
        <is>
          <t>T-007</t>
        </is>
      </c>
      <c r="C8" t="inlineStr">
        <is>
          <t>OPC tag mapping spreadsheet</t>
        </is>
      </c>
      <c r="D8" t="inlineStr">
        <is>
          <t>Mapping from old FactoryTalk tags to new Ignition OPC paths.</t>
        </is>
      </c>
      <c r="E8" t="inlineStr">
        <is>
          <t>In Progress</t>
        </is>
      </c>
      <c r="F8" s="3" t="n">
        <v>46113</v>
      </c>
      <c r="G8" s="3" t="n">
        <v>46127</v>
      </c>
      <c r="H8" s="3" t="n">
        <v>46127</v>
      </c>
      <c r="I8" t="n">
        <v>75</v>
      </c>
      <c r="J8" t="n">
        <v>5</v>
      </c>
      <c r="K8" t="n">
        <v>3.5</v>
      </c>
    </row>
    <row r="9">
      <c r="A9" t="inlineStr">
        <is>
          <t>D-008</t>
        </is>
      </c>
      <c r="B9" t="inlineStr">
        <is>
          <t>T-009</t>
        </is>
      </c>
      <c r="C9" t="inlineStr">
        <is>
          <t>Printed SOP binder</t>
        </is>
      </c>
      <c r="D9" t="inlineStr">
        <is>
          <t>Laminated and bound set of all 5 SOPs for the control room.</t>
        </is>
      </c>
      <c r="E9" t="inlineStr">
        <is>
          <t>Completed</t>
        </is>
      </c>
      <c r="F9" s="3" t="n">
        <v>46091</v>
      </c>
      <c r="G9" s="3" t="n">
        <v>46095</v>
      </c>
      <c r="H9" s="3" t="n">
        <v>46096</v>
      </c>
      <c r="I9" t="n">
        <v>100</v>
      </c>
      <c r="J9" t="n">
        <v>3</v>
      </c>
      <c r="K9" t="n">
        <v>2.5</v>
      </c>
    </row>
    <row r="10">
      <c r="A10" t="inlineStr">
        <is>
          <t>D-009</t>
        </is>
      </c>
      <c r="B10" t="inlineStr">
        <is>
          <t>T-010</t>
        </is>
      </c>
      <c r="C10" t="inlineStr">
        <is>
          <t>Training presentation slides</t>
        </is>
      </c>
      <c r="D10" t="inlineStr">
        <is>
          <t>PowerPoint deck covering system overview, alarms, and emergency procedures.</t>
        </is>
      </c>
      <c r="E10" t="inlineStr">
        <is>
          <t>Completed</t>
        </is>
      </c>
      <c r="F10" s="3" t="n">
        <v>46091</v>
      </c>
      <c r="G10" s="3" t="n">
        <v>46097</v>
      </c>
      <c r="H10" s="3" t="n">
        <v>46098</v>
      </c>
      <c r="I10" t="n">
        <v>100</v>
      </c>
      <c r="J10" t="n">
        <v>4</v>
      </c>
      <c r="K10" t="n">
        <v>4.5</v>
      </c>
    </row>
    <row r="11">
      <c r="A11" t="inlineStr">
        <is>
          <t>D-010</t>
        </is>
      </c>
      <c r="B11" t="inlineStr">
        <is>
          <t>T-010</t>
        </is>
      </c>
      <c r="C11" t="inlineStr">
        <is>
          <t>Attendance and quiz records</t>
        </is>
      </c>
      <c r="D11" t="inlineStr">
        <is>
          <t>Sign-in sheets and quiz results for all 3 sessions.</t>
        </is>
      </c>
      <c r="E11" t="inlineStr">
        <is>
          <t>Completed</t>
        </is>
      </c>
      <c r="F11" s="3" t="n">
        <v>46098</v>
      </c>
      <c r="G11" s="3" t="n">
        <v>46109</v>
      </c>
      <c r="H11" s="3" t="n">
        <v>46109</v>
      </c>
      <c r="I11" t="n">
        <v>100</v>
      </c>
      <c r="J11" t="n">
        <v>1</v>
      </c>
      <c r="K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3CDE3"/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4" customWidth="1" min="13" max="13"/>
    <col width="30" customWidth="1" min="14" max="14"/>
  </cols>
  <sheetData>
    <row r="1">
      <c r="A1" s="2" t="inlineStr">
        <is>
          <t>Item ID</t>
        </is>
      </c>
      <c r="B1" s="2" t="inlineStr">
        <is>
          <t>Item Type</t>
        </is>
      </c>
      <c r="C1" s="2" t="inlineStr">
        <is>
          <t>Title</t>
        </is>
      </c>
      <c r="D1" s="2" t="inlineStr">
        <is>
          <t>Parent ID</t>
        </is>
      </c>
      <c r="E1" s="2" t="inlineStr">
        <is>
          <t>Start Date</t>
        </is>
      </c>
      <c r="F1" s="2" t="inlineStr">
        <is>
          <t>Duration (days)</t>
        </is>
      </c>
      <c r="G1" s="2" t="inlineStr">
        <is>
          <t>End Date</t>
        </is>
      </c>
      <c r="H1" s="2" t="inlineStr">
        <is>
          <t>Deadline</t>
        </is>
      </c>
      <c r="I1" s="2" t="inlineStr">
        <is>
          <t>Status</t>
        </is>
      </c>
      <c r="J1" s="2" t="inlineStr">
        <is>
          <t>% Complete</t>
        </is>
      </c>
      <c r="K1" s="2" t="inlineStr">
        <is>
          <t>Time Allocated</t>
        </is>
      </c>
      <c r="L1" s="2" t="inlineStr">
        <is>
          <t>Time Spent</t>
        </is>
      </c>
      <c r="M1" s="2" t="inlineStr">
        <is>
          <t>Scheduled Date</t>
        </is>
      </c>
      <c r="N1" s="2" t="inlineStr">
        <is>
          <t>Milestones</t>
        </is>
      </c>
    </row>
    <row r="2">
      <c r="A2" t="inlineStr">
        <is>
          <t>P-001</t>
        </is>
      </c>
      <c r="B2" t="inlineStr">
        <is>
          <t>Project</t>
        </is>
      </c>
      <c r="C2">
        <f>IFERROR(VLOOKUP($A2,'Projects'!$A:$M,2,FALSE),"")</f>
        <v/>
      </c>
      <c r="D2" t="inlineStr"/>
      <c r="E2">
        <f>IFERROR(VLOOKUP($A2,'Projects'!$A:$M,9,FALSE),"")</f>
        <v/>
      </c>
      <c r="F2">
        <f>IFERROR(IF(F2="","",G2-F2),"")</f>
        <v/>
      </c>
      <c r="G2">
        <f>IFERROR(VLOOKUP($A2,'Projects'!$A:$M,10,FALSE),"")</f>
        <v/>
      </c>
      <c r="H2">
        <f>IFERROR(VLOOKUP($A2,'Projects'!$A:$M,11,FALSE),"")</f>
        <v/>
      </c>
      <c r="I2">
        <f>IFERROR(VLOOKUP($A2,'Projects'!$A:$M,7,FALSE),"")</f>
        <v/>
      </c>
      <c r="J2" t="inlineStr"/>
      <c r="K2" t="inlineStr"/>
      <c r="L2" t="inlineStr"/>
      <c r="M2" t="inlineStr"/>
      <c r="N2" t="inlineStr"/>
    </row>
    <row r="3">
      <c r="A3" t="inlineStr">
        <is>
          <t>P-002</t>
        </is>
      </c>
      <c r="B3" t="inlineStr">
        <is>
          <t>Project</t>
        </is>
      </c>
      <c r="C3">
        <f>IFERROR(VLOOKUP($A3,'Projects'!$A:$M,2,FALSE),"")</f>
        <v/>
      </c>
      <c r="D3" t="inlineStr"/>
      <c r="E3">
        <f>IFERROR(VLOOKUP($A3,'Projects'!$A:$M,9,FALSE),"")</f>
        <v/>
      </c>
      <c r="F3">
        <f>IFERROR(IF(F3="","",G3-F3),"")</f>
        <v/>
      </c>
      <c r="G3">
        <f>IFERROR(VLOOKUP($A3,'Projects'!$A:$M,10,FALSE),"")</f>
        <v/>
      </c>
      <c r="H3">
        <f>IFERROR(VLOOKUP($A3,'Projects'!$A:$M,11,FALSE),"")</f>
        <v/>
      </c>
      <c r="I3">
        <f>IFERROR(VLOOKUP($A3,'Projects'!$A:$M,7,FALSE),"")</f>
        <v/>
      </c>
      <c r="J3" t="inlineStr"/>
      <c r="K3" t="inlineStr"/>
      <c r="L3" t="inlineStr"/>
      <c r="M3" t="inlineStr"/>
      <c r="N3" t="inlineStr"/>
    </row>
    <row r="4">
      <c r="A4" t="inlineStr">
        <is>
          <t>P-003</t>
        </is>
      </c>
      <c r="B4" t="inlineStr">
        <is>
          <t>Project</t>
        </is>
      </c>
      <c r="C4">
        <f>IFERROR(VLOOKUP($A4,'Projects'!$A:$M,2,FALSE),"")</f>
        <v/>
      </c>
      <c r="D4" t="inlineStr"/>
      <c r="E4">
        <f>IFERROR(VLOOKUP($A4,'Projects'!$A:$M,9,FALSE),"")</f>
        <v/>
      </c>
      <c r="F4">
        <f>IFERROR(IF(F4="","",G4-F4),"")</f>
        <v/>
      </c>
      <c r="G4">
        <f>IFERROR(VLOOKUP($A4,'Projects'!$A:$M,10,FALSE),"")</f>
        <v/>
      </c>
      <c r="H4">
        <f>IFERROR(VLOOKUP($A4,'Projects'!$A:$M,11,FALSE),"")</f>
        <v/>
      </c>
      <c r="I4">
        <f>IFERROR(VLOOKUP($A4,'Projects'!$A:$M,7,FALSE),"")</f>
        <v/>
      </c>
      <c r="J4" t="inlineStr"/>
      <c r="K4" t="inlineStr"/>
      <c r="L4" t="inlineStr"/>
      <c r="M4" t="inlineStr"/>
      <c r="N4" t="inlineStr"/>
    </row>
    <row r="5">
      <c r="A5" t="inlineStr">
        <is>
          <t>P-004</t>
        </is>
      </c>
      <c r="B5" t="inlineStr">
        <is>
          <t>Project</t>
        </is>
      </c>
      <c r="C5">
        <f>IFERROR(VLOOKUP($A5,'Projects'!$A:$M,2,FALSE),"")</f>
        <v/>
      </c>
      <c r="D5" t="inlineStr"/>
      <c r="E5">
        <f>IFERROR(VLOOKUP($A5,'Projects'!$A:$M,9,FALSE),"")</f>
        <v/>
      </c>
      <c r="F5">
        <f>IFERROR(IF(F5="","",G5-F5),"")</f>
        <v/>
      </c>
      <c r="G5">
        <f>IFERROR(VLOOKUP($A5,'Projects'!$A:$M,10,FALSE),"")</f>
        <v/>
      </c>
      <c r="H5">
        <f>IFERROR(VLOOKUP($A5,'Projects'!$A:$M,11,FALSE),"")</f>
        <v/>
      </c>
      <c r="I5">
        <f>IFERROR(VLOOKUP($A5,'Projects'!$A:$M,7,FALSE),"")</f>
        <v/>
      </c>
      <c r="J5" t="inlineStr"/>
      <c r="K5" t="inlineStr"/>
      <c r="L5" t="inlineStr"/>
      <c r="M5" t="inlineStr"/>
      <c r="N5" t="inlineStr"/>
    </row>
    <row r="6">
      <c r="A6" t="inlineStr">
        <is>
          <t>T-001</t>
        </is>
      </c>
      <c r="B6" t="inlineStr">
        <is>
          <t>Task</t>
        </is>
      </c>
      <c r="C6">
        <f>IFERROR(VLOOKUP($A6,'Tasks'!$A:$N,3,FALSE),"")</f>
        <v/>
      </c>
      <c r="D6">
        <f>IFERROR(VLOOKUP($A6,'Tasks'!$A:$N,2,FALSE),"")</f>
        <v/>
      </c>
      <c r="E6">
        <f>IFERROR(VLOOKUP($A6,'Tasks'!$A:$N,9,FALSE),"")</f>
        <v/>
      </c>
      <c r="F6">
        <f>IFERROR(IF(F6="","",G6-F6),"")</f>
        <v/>
      </c>
      <c r="G6">
        <f>IFERROR(VLOOKUP($A6,'Tasks'!$A:$N,10,FALSE),"")</f>
        <v/>
      </c>
      <c r="H6">
        <f>IFERROR(VLOOKUP($A6,'Tasks'!$A:$N,11,FALSE),"")</f>
        <v/>
      </c>
      <c r="I6">
        <f>IFERROR(VLOOKUP($A6,'Tasks'!$A:$N,7,FALSE),"")</f>
        <v/>
      </c>
      <c r="J6" t="inlineStr"/>
      <c r="K6" t="inlineStr"/>
      <c r="L6" t="inlineStr"/>
      <c r="M6">
        <f>IFERROR(VLOOKUP($A6,'Tasks'!$A:$N,14,FALSE),"")</f>
        <v/>
      </c>
      <c r="N6" t="inlineStr"/>
    </row>
    <row r="7">
      <c r="A7" t="inlineStr">
        <is>
          <t>T-002</t>
        </is>
      </c>
      <c r="B7" t="inlineStr">
        <is>
          <t>Task</t>
        </is>
      </c>
      <c r="C7">
        <f>IFERROR(VLOOKUP($A7,'Tasks'!$A:$N,3,FALSE),"")</f>
        <v/>
      </c>
      <c r="D7">
        <f>IFERROR(VLOOKUP($A7,'Tasks'!$A:$N,2,FALSE),"")</f>
        <v/>
      </c>
      <c r="E7">
        <f>IFERROR(VLOOKUP($A7,'Tasks'!$A:$N,9,FALSE),"")</f>
        <v/>
      </c>
      <c r="F7">
        <f>IFERROR(IF(F7="","",G7-F7),"")</f>
        <v/>
      </c>
      <c r="G7">
        <f>IFERROR(VLOOKUP($A7,'Tasks'!$A:$N,10,FALSE),"")</f>
        <v/>
      </c>
      <c r="H7">
        <f>IFERROR(VLOOKUP($A7,'Tasks'!$A:$N,11,FALSE),"")</f>
        <v/>
      </c>
      <c r="I7">
        <f>IFERROR(VLOOKUP($A7,'Tasks'!$A:$N,7,FALSE),"")</f>
        <v/>
      </c>
      <c r="J7" t="inlineStr"/>
      <c r="K7" t="inlineStr"/>
      <c r="L7" t="inlineStr"/>
      <c r="M7">
        <f>IFERROR(VLOOKUP($A7,'Tasks'!$A:$N,14,FALSE),"")</f>
        <v/>
      </c>
      <c r="N7" t="inlineStr"/>
    </row>
    <row r="8">
      <c r="A8" t="inlineStr">
        <is>
          <t>T-003</t>
        </is>
      </c>
      <c r="B8" t="inlineStr">
        <is>
          <t>Task</t>
        </is>
      </c>
      <c r="C8">
        <f>IFERROR(VLOOKUP($A8,'Tasks'!$A:$N,3,FALSE),"")</f>
        <v/>
      </c>
      <c r="D8">
        <f>IFERROR(VLOOKUP($A8,'Tasks'!$A:$N,2,FALSE),"")</f>
        <v/>
      </c>
      <c r="E8">
        <f>IFERROR(VLOOKUP($A8,'Tasks'!$A:$N,9,FALSE),"")</f>
        <v/>
      </c>
      <c r="F8">
        <f>IFERROR(IF(F8="","",G8-F8),"")</f>
        <v/>
      </c>
      <c r="G8">
        <f>IFERROR(VLOOKUP($A8,'Tasks'!$A:$N,10,FALSE),"")</f>
        <v/>
      </c>
      <c r="H8">
        <f>IFERROR(VLOOKUP($A8,'Tasks'!$A:$N,11,FALSE),"")</f>
        <v/>
      </c>
      <c r="I8">
        <f>IFERROR(VLOOKUP($A8,'Tasks'!$A:$N,7,FALSE),"")</f>
        <v/>
      </c>
      <c r="J8" t="inlineStr"/>
      <c r="K8" t="inlineStr"/>
      <c r="L8" t="inlineStr"/>
      <c r="M8">
        <f>IFERROR(VLOOKUP($A8,'Tasks'!$A:$N,14,FALSE),"")</f>
        <v/>
      </c>
      <c r="N8" t="inlineStr"/>
    </row>
    <row r="9">
      <c r="A9" t="inlineStr">
        <is>
          <t>T-004</t>
        </is>
      </c>
      <c r="B9" t="inlineStr">
        <is>
          <t>Task</t>
        </is>
      </c>
      <c r="C9">
        <f>IFERROR(VLOOKUP($A9,'Tasks'!$A:$N,3,FALSE),"")</f>
        <v/>
      </c>
      <c r="D9">
        <f>IFERROR(VLOOKUP($A9,'Tasks'!$A:$N,2,FALSE),"")</f>
        <v/>
      </c>
      <c r="E9">
        <f>IFERROR(VLOOKUP($A9,'Tasks'!$A:$N,9,FALSE),"")</f>
        <v/>
      </c>
      <c r="F9">
        <f>IFERROR(IF(F9="","",G9-F9),"")</f>
        <v/>
      </c>
      <c r="G9">
        <f>IFERROR(VLOOKUP($A9,'Tasks'!$A:$N,10,FALSE),"")</f>
        <v/>
      </c>
      <c r="H9">
        <f>IFERROR(VLOOKUP($A9,'Tasks'!$A:$N,11,FALSE),"")</f>
        <v/>
      </c>
      <c r="I9">
        <f>IFERROR(VLOOKUP($A9,'Tasks'!$A:$N,7,FALSE),"")</f>
        <v/>
      </c>
      <c r="J9" t="inlineStr"/>
      <c r="K9" t="inlineStr"/>
      <c r="L9" t="inlineStr"/>
      <c r="M9">
        <f>IFERROR(VLOOKUP($A9,'Tasks'!$A:$N,14,FALSE),"")</f>
        <v/>
      </c>
      <c r="N9" t="inlineStr"/>
    </row>
    <row r="10">
      <c r="A10" t="inlineStr">
        <is>
          <t>T-005</t>
        </is>
      </c>
      <c r="B10" t="inlineStr">
        <is>
          <t>Task</t>
        </is>
      </c>
      <c r="C10">
        <f>IFERROR(VLOOKUP($A10,'Tasks'!$A:$N,3,FALSE),"")</f>
        <v/>
      </c>
      <c r="D10">
        <f>IFERROR(VLOOKUP($A10,'Tasks'!$A:$N,2,FALSE),"")</f>
        <v/>
      </c>
      <c r="E10">
        <f>IFERROR(VLOOKUP($A10,'Tasks'!$A:$N,9,FALSE),"")</f>
        <v/>
      </c>
      <c r="F10">
        <f>IFERROR(IF(F10="","",G10-F10),"")</f>
        <v/>
      </c>
      <c r="G10">
        <f>IFERROR(VLOOKUP($A10,'Tasks'!$A:$N,10,FALSE),"")</f>
        <v/>
      </c>
      <c r="H10">
        <f>IFERROR(VLOOKUP($A10,'Tasks'!$A:$N,11,FALSE),"")</f>
        <v/>
      </c>
      <c r="I10">
        <f>IFERROR(VLOOKUP($A10,'Tasks'!$A:$N,7,FALSE),"")</f>
        <v/>
      </c>
      <c r="J10" t="inlineStr"/>
      <c r="K10" t="inlineStr"/>
      <c r="L10" t="inlineStr"/>
      <c r="M10">
        <f>IFERROR(VLOOKUP($A10,'Tasks'!$A:$N,14,FALSE),"")</f>
        <v/>
      </c>
      <c r="N10" t="inlineStr"/>
    </row>
    <row r="11">
      <c r="A11" t="inlineStr">
        <is>
          <t>T-006</t>
        </is>
      </c>
      <c r="B11" t="inlineStr">
        <is>
          <t>Task</t>
        </is>
      </c>
      <c r="C11">
        <f>IFERROR(VLOOKUP($A11,'Tasks'!$A:$N,3,FALSE),"")</f>
        <v/>
      </c>
      <c r="D11">
        <f>IFERROR(VLOOKUP($A11,'Tasks'!$A:$N,2,FALSE),"")</f>
        <v/>
      </c>
      <c r="E11">
        <f>IFERROR(VLOOKUP($A11,'Tasks'!$A:$N,9,FALSE),"")</f>
        <v/>
      </c>
      <c r="F11">
        <f>IFERROR(IF(F11="","",G11-F11),"")</f>
        <v/>
      </c>
      <c r="G11">
        <f>IFERROR(VLOOKUP($A11,'Tasks'!$A:$N,10,FALSE),"")</f>
        <v/>
      </c>
      <c r="H11">
        <f>IFERROR(VLOOKUP($A11,'Tasks'!$A:$N,11,FALSE),"")</f>
        <v/>
      </c>
      <c r="I11">
        <f>IFERROR(VLOOKUP($A11,'Tasks'!$A:$N,7,FALSE),"")</f>
        <v/>
      </c>
      <c r="J11" t="inlineStr"/>
      <c r="K11" t="inlineStr"/>
      <c r="L11" t="inlineStr"/>
      <c r="M11">
        <f>IFERROR(VLOOKUP($A11,'Tasks'!$A:$N,14,FALSE),"")</f>
        <v/>
      </c>
      <c r="N11" t="inlineStr"/>
    </row>
    <row r="12">
      <c r="A12" t="inlineStr">
        <is>
          <t>T-007</t>
        </is>
      </c>
      <c r="B12" t="inlineStr">
        <is>
          <t>Task</t>
        </is>
      </c>
      <c r="C12">
        <f>IFERROR(VLOOKUP($A12,'Tasks'!$A:$N,3,FALSE),"")</f>
        <v/>
      </c>
      <c r="D12">
        <f>IFERROR(VLOOKUP($A12,'Tasks'!$A:$N,2,FALSE),"")</f>
        <v/>
      </c>
      <c r="E12">
        <f>IFERROR(VLOOKUP($A12,'Tasks'!$A:$N,9,FALSE),"")</f>
        <v/>
      </c>
      <c r="F12">
        <f>IFERROR(IF(F12="","",G12-F12),"")</f>
        <v/>
      </c>
      <c r="G12">
        <f>IFERROR(VLOOKUP($A12,'Tasks'!$A:$N,10,FALSE),"")</f>
        <v/>
      </c>
      <c r="H12">
        <f>IFERROR(VLOOKUP($A12,'Tasks'!$A:$N,11,FALSE),"")</f>
        <v/>
      </c>
      <c r="I12">
        <f>IFERROR(VLOOKUP($A12,'Tasks'!$A:$N,7,FALSE),"")</f>
        <v/>
      </c>
      <c r="J12" t="inlineStr"/>
      <c r="K12" t="inlineStr"/>
      <c r="L12" t="inlineStr"/>
      <c r="M12">
        <f>IFERROR(VLOOKUP($A12,'Tasks'!$A:$N,14,FALSE),"")</f>
        <v/>
      </c>
      <c r="N12" t="inlineStr"/>
    </row>
    <row r="13">
      <c r="A13" t="inlineStr">
        <is>
          <t>T-008</t>
        </is>
      </c>
      <c r="B13" t="inlineStr">
        <is>
          <t>Task</t>
        </is>
      </c>
      <c r="C13">
        <f>IFERROR(VLOOKUP($A13,'Tasks'!$A:$N,3,FALSE),"")</f>
        <v/>
      </c>
      <c r="D13">
        <f>IFERROR(VLOOKUP($A13,'Tasks'!$A:$N,2,FALSE),"")</f>
        <v/>
      </c>
      <c r="E13">
        <f>IFERROR(VLOOKUP($A13,'Tasks'!$A:$N,9,FALSE),"")</f>
        <v/>
      </c>
      <c r="F13">
        <f>IFERROR(IF(F13="","",G13-F13),"")</f>
        <v/>
      </c>
      <c r="G13">
        <f>IFERROR(VLOOKUP($A13,'Tasks'!$A:$N,10,FALSE),"")</f>
        <v/>
      </c>
      <c r="H13">
        <f>IFERROR(VLOOKUP($A13,'Tasks'!$A:$N,11,FALSE),"")</f>
        <v/>
      </c>
      <c r="I13">
        <f>IFERROR(VLOOKUP($A13,'Tasks'!$A:$N,7,FALSE),"")</f>
        <v/>
      </c>
      <c r="J13" t="inlineStr"/>
      <c r="K13" t="inlineStr"/>
      <c r="L13" t="inlineStr"/>
      <c r="M13">
        <f>IFERROR(VLOOKUP($A13,'Tasks'!$A:$N,14,FALSE),"")</f>
        <v/>
      </c>
      <c r="N13" t="inlineStr"/>
    </row>
    <row r="14">
      <c r="A14" t="inlineStr">
        <is>
          <t>T-009</t>
        </is>
      </c>
      <c r="B14" t="inlineStr">
        <is>
          <t>Task</t>
        </is>
      </c>
      <c r="C14">
        <f>IFERROR(VLOOKUP($A14,'Tasks'!$A:$N,3,FALSE),"")</f>
        <v/>
      </c>
      <c r="D14">
        <f>IFERROR(VLOOKUP($A14,'Tasks'!$A:$N,2,FALSE),"")</f>
        <v/>
      </c>
      <c r="E14">
        <f>IFERROR(VLOOKUP($A14,'Tasks'!$A:$N,9,FALSE),"")</f>
        <v/>
      </c>
      <c r="F14">
        <f>IFERROR(IF(F14="","",G14-F14),"")</f>
        <v/>
      </c>
      <c r="G14">
        <f>IFERROR(VLOOKUP($A14,'Tasks'!$A:$N,10,FALSE),"")</f>
        <v/>
      </c>
      <c r="H14">
        <f>IFERROR(VLOOKUP($A14,'Tasks'!$A:$N,11,FALSE),"")</f>
        <v/>
      </c>
      <c r="I14">
        <f>IFERROR(VLOOKUP($A14,'Tasks'!$A:$N,7,FALSE),"")</f>
        <v/>
      </c>
      <c r="J14" t="inlineStr"/>
      <c r="K14" t="inlineStr"/>
      <c r="L14" t="inlineStr"/>
      <c r="M14">
        <f>IFERROR(VLOOKUP($A14,'Tasks'!$A:$N,14,FALSE),"")</f>
        <v/>
      </c>
      <c r="N14" t="inlineStr"/>
    </row>
    <row r="15">
      <c r="A15" t="inlineStr">
        <is>
          <t>T-010</t>
        </is>
      </c>
      <c r="B15" t="inlineStr">
        <is>
          <t>Task</t>
        </is>
      </c>
      <c r="C15">
        <f>IFERROR(VLOOKUP($A15,'Tasks'!$A:$N,3,FALSE),"")</f>
        <v/>
      </c>
      <c r="D15">
        <f>IFERROR(VLOOKUP($A15,'Tasks'!$A:$N,2,FALSE),"")</f>
        <v/>
      </c>
      <c r="E15">
        <f>IFERROR(VLOOKUP($A15,'Tasks'!$A:$N,9,FALSE),"")</f>
        <v/>
      </c>
      <c r="F15">
        <f>IFERROR(IF(F15="","",G15-F15),"")</f>
        <v/>
      </c>
      <c r="G15">
        <f>IFERROR(VLOOKUP($A15,'Tasks'!$A:$N,10,FALSE),"")</f>
        <v/>
      </c>
      <c r="H15">
        <f>IFERROR(VLOOKUP($A15,'Tasks'!$A:$N,11,FALSE),"")</f>
        <v/>
      </c>
      <c r="I15">
        <f>IFERROR(VLOOKUP($A15,'Tasks'!$A:$N,7,FALSE),"")</f>
        <v/>
      </c>
      <c r="J15" t="inlineStr"/>
      <c r="K15" t="inlineStr"/>
      <c r="L15" t="inlineStr"/>
      <c r="M15">
        <f>IFERROR(VLOOKUP($A15,'Tasks'!$A:$N,14,FALSE),"")</f>
        <v/>
      </c>
      <c r="N15" t="inlineStr"/>
    </row>
    <row r="16">
      <c r="A16" t="inlineStr">
        <is>
          <t>D-001</t>
        </is>
      </c>
      <c r="B16" t="inlineStr">
        <is>
          <t>Deliverable</t>
        </is>
      </c>
      <c r="C16">
        <f>IFERROR(VLOOKUP($A16,'Deliverables'!$A:$K,3,FALSE),"")</f>
        <v/>
      </c>
      <c r="D16">
        <f>IFERROR(VLOOKUP($A16,'Deliverables'!$A:$K,2,FALSE),"")</f>
        <v/>
      </c>
      <c r="E16">
        <f>IFERROR(VLOOKUP($A16,'Deliverables'!$A:$K,6,FALSE),"")</f>
        <v/>
      </c>
      <c r="F16">
        <f>IFERROR(IF(F16="","",G16-F16),"")</f>
        <v/>
      </c>
      <c r="G16">
        <f>IFERROR(VLOOKUP($A16,'Deliverables'!$A:$K,7,FALSE),"")</f>
        <v/>
      </c>
      <c r="H16">
        <f>IFERROR(VLOOKUP($A16,'Deliverables'!$A:$K,8,FALSE),"")</f>
        <v/>
      </c>
      <c r="I16">
        <f>IFERROR(VLOOKUP($A16,'Deliverables'!$A:$K,5,FALSE),"")</f>
        <v/>
      </c>
      <c r="J16">
        <f>IFERROR(VLOOKUP($A16,'Deliverables'!$A:$K,9,FALSE),"")</f>
        <v/>
      </c>
      <c r="K16">
        <f>IFERROR(VLOOKUP($A16,'Deliverables'!$A:$K,10,FALSE),"")</f>
        <v/>
      </c>
      <c r="L16">
        <f>IFERROR(VLOOKUP($A16,'Deliverables'!$A:$K,11,FALSE),"")</f>
        <v/>
      </c>
      <c r="M16" t="inlineStr"/>
      <c r="N16" t="inlineStr"/>
    </row>
    <row r="17">
      <c r="A17" t="inlineStr">
        <is>
          <t>D-002</t>
        </is>
      </c>
      <c r="B17" t="inlineStr">
        <is>
          <t>Deliverable</t>
        </is>
      </c>
      <c r="C17">
        <f>IFERROR(VLOOKUP($A17,'Deliverables'!$A:$K,3,FALSE),"")</f>
        <v/>
      </c>
      <c r="D17">
        <f>IFERROR(VLOOKUP($A17,'Deliverables'!$A:$K,2,FALSE),"")</f>
        <v/>
      </c>
      <c r="E17">
        <f>IFERROR(VLOOKUP($A17,'Deliverables'!$A:$K,6,FALSE),"")</f>
        <v/>
      </c>
      <c r="F17">
        <f>IFERROR(IF(F17="","",G17-F17),"")</f>
        <v/>
      </c>
      <c r="G17">
        <f>IFERROR(VLOOKUP($A17,'Deliverables'!$A:$K,7,FALSE),"")</f>
        <v/>
      </c>
      <c r="H17">
        <f>IFERROR(VLOOKUP($A17,'Deliverables'!$A:$K,8,FALSE),"")</f>
        <v/>
      </c>
      <c r="I17">
        <f>IFERROR(VLOOKUP($A17,'Deliverables'!$A:$K,5,FALSE),"")</f>
        <v/>
      </c>
      <c r="J17">
        <f>IFERROR(VLOOKUP($A17,'Deliverables'!$A:$K,9,FALSE),"")</f>
        <v/>
      </c>
      <c r="K17">
        <f>IFERROR(VLOOKUP($A17,'Deliverables'!$A:$K,10,FALSE),"")</f>
        <v/>
      </c>
      <c r="L17">
        <f>IFERROR(VLOOKUP($A17,'Deliverables'!$A:$K,11,FALSE),"")</f>
        <v/>
      </c>
      <c r="M17" t="inlineStr"/>
      <c r="N17" t="inlineStr"/>
    </row>
    <row r="18">
      <c r="A18" t="inlineStr">
        <is>
          <t>D-003</t>
        </is>
      </c>
      <c r="B18" t="inlineStr">
        <is>
          <t>Deliverable</t>
        </is>
      </c>
      <c r="C18">
        <f>IFERROR(VLOOKUP($A18,'Deliverables'!$A:$K,3,FALSE),"")</f>
        <v/>
      </c>
      <c r="D18">
        <f>IFERROR(VLOOKUP($A18,'Deliverables'!$A:$K,2,FALSE),"")</f>
        <v/>
      </c>
      <c r="E18">
        <f>IFERROR(VLOOKUP($A18,'Deliverables'!$A:$K,6,FALSE),"")</f>
        <v/>
      </c>
      <c r="F18">
        <f>IFERROR(IF(F18="","",G18-F18),"")</f>
        <v/>
      </c>
      <c r="G18">
        <f>IFERROR(VLOOKUP($A18,'Deliverables'!$A:$K,7,FALSE),"")</f>
        <v/>
      </c>
      <c r="H18">
        <f>IFERROR(VLOOKUP($A18,'Deliverables'!$A:$K,8,FALSE),"")</f>
        <v/>
      </c>
      <c r="I18">
        <f>IFERROR(VLOOKUP($A18,'Deliverables'!$A:$K,5,FALSE),"")</f>
        <v/>
      </c>
      <c r="J18">
        <f>IFERROR(VLOOKUP($A18,'Deliverables'!$A:$K,9,FALSE),"")</f>
        <v/>
      </c>
      <c r="K18">
        <f>IFERROR(VLOOKUP($A18,'Deliverables'!$A:$K,10,FALSE),"")</f>
        <v/>
      </c>
      <c r="L18">
        <f>IFERROR(VLOOKUP($A18,'Deliverables'!$A:$K,11,FALSE),"")</f>
        <v/>
      </c>
      <c r="M18" t="inlineStr"/>
      <c r="N18" t="inlineStr"/>
    </row>
    <row r="19">
      <c r="A19" t="inlineStr">
        <is>
          <t>D-004</t>
        </is>
      </c>
      <c r="B19" t="inlineStr">
        <is>
          <t>Deliverable</t>
        </is>
      </c>
      <c r="C19">
        <f>IFERROR(VLOOKUP($A19,'Deliverables'!$A:$K,3,FALSE),"")</f>
        <v/>
      </c>
      <c r="D19">
        <f>IFERROR(VLOOKUP($A19,'Deliverables'!$A:$K,2,FALSE),"")</f>
        <v/>
      </c>
      <c r="E19">
        <f>IFERROR(VLOOKUP($A19,'Deliverables'!$A:$K,6,FALSE),"")</f>
        <v/>
      </c>
      <c r="F19">
        <f>IFERROR(IF(F19="","",G19-F19),"")</f>
        <v/>
      </c>
      <c r="G19">
        <f>IFERROR(VLOOKUP($A19,'Deliverables'!$A:$K,7,FALSE),"")</f>
        <v/>
      </c>
      <c r="H19">
        <f>IFERROR(VLOOKUP($A19,'Deliverables'!$A:$K,8,FALSE),"")</f>
        <v/>
      </c>
      <c r="I19">
        <f>IFERROR(VLOOKUP($A19,'Deliverables'!$A:$K,5,FALSE),"")</f>
        <v/>
      </c>
      <c r="J19">
        <f>IFERROR(VLOOKUP($A19,'Deliverables'!$A:$K,9,FALSE),"")</f>
        <v/>
      </c>
      <c r="K19">
        <f>IFERROR(VLOOKUP($A19,'Deliverables'!$A:$K,10,FALSE),"")</f>
        <v/>
      </c>
      <c r="L19">
        <f>IFERROR(VLOOKUP($A19,'Deliverables'!$A:$K,11,FALSE),"")</f>
        <v/>
      </c>
      <c r="M19" t="inlineStr"/>
      <c r="N19" t="inlineStr"/>
    </row>
    <row r="20">
      <c r="A20" t="inlineStr">
        <is>
          <t>D-005</t>
        </is>
      </c>
      <c r="B20" t="inlineStr">
        <is>
          <t>Deliverable</t>
        </is>
      </c>
      <c r="C20">
        <f>IFERROR(VLOOKUP($A20,'Deliverables'!$A:$K,3,FALSE),"")</f>
        <v/>
      </c>
      <c r="D20">
        <f>IFERROR(VLOOKUP($A20,'Deliverables'!$A:$K,2,FALSE),"")</f>
        <v/>
      </c>
      <c r="E20">
        <f>IFERROR(VLOOKUP($A20,'Deliverables'!$A:$K,6,FALSE),"")</f>
        <v/>
      </c>
      <c r="F20">
        <f>IFERROR(IF(F20="","",G20-F20),"")</f>
        <v/>
      </c>
      <c r="G20">
        <f>IFERROR(VLOOKUP($A20,'Deliverables'!$A:$K,7,FALSE),"")</f>
        <v/>
      </c>
      <c r="H20">
        <f>IFERROR(VLOOKUP($A20,'Deliverables'!$A:$K,8,FALSE),"")</f>
        <v/>
      </c>
      <c r="I20">
        <f>IFERROR(VLOOKUP($A20,'Deliverables'!$A:$K,5,FALSE),"")</f>
        <v/>
      </c>
      <c r="J20">
        <f>IFERROR(VLOOKUP($A20,'Deliverables'!$A:$K,9,FALSE),"")</f>
        <v/>
      </c>
      <c r="K20">
        <f>IFERROR(VLOOKUP($A20,'Deliverables'!$A:$K,10,FALSE),"")</f>
        <v/>
      </c>
      <c r="L20">
        <f>IFERROR(VLOOKUP($A20,'Deliverables'!$A:$K,11,FALSE),"")</f>
        <v/>
      </c>
      <c r="M20" t="inlineStr"/>
      <c r="N20" t="inlineStr"/>
    </row>
    <row r="21">
      <c r="A21" t="inlineStr">
        <is>
          <t>D-006</t>
        </is>
      </c>
      <c r="B21" t="inlineStr">
        <is>
          <t>Deliverable</t>
        </is>
      </c>
      <c r="C21">
        <f>IFERROR(VLOOKUP($A21,'Deliverables'!$A:$K,3,FALSE),"")</f>
        <v/>
      </c>
      <c r="D21">
        <f>IFERROR(VLOOKUP($A21,'Deliverables'!$A:$K,2,FALSE),"")</f>
        <v/>
      </c>
      <c r="E21">
        <f>IFERROR(VLOOKUP($A21,'Deliverables'!$A:$K,6,FALSE),"")</f>
        <v/>
      </c>
      <c r="F21">
        <f>IFERROR(IF(F21="","",G21-F21),"")</f>
        <v/>
      </c>
      <c r="G21">
        <f>IFERROR(VLOOKUP($A21,'Deliverables'!$A:$K,7,FALSE),"")</f>
        <v/>
      </c>
      <c r="H21">
        <f>IFERROR(VLOOKUP($A21,'Deliverables'!$A:$K,8,FALSE),"")</f>
        <v/>
      </c>
      <c r="I21">
        <f>IFERROR(VLOOKUP($A21,'Deliverables'!$A:$K,5,FALSE),"")</f>
        <v/>
      </c>
      <c r="J21">
        <f>IFERROR(VLOOKUP($A21,'Deliverables'!$A:$K,9,FALSE),"")</f>
        <v/>
      </c>
      <c r="K21">
        <f>IFERROR(VLOOKUP($A21,'Deliverables'!$A:$K,10,FALSE),"")</f>
        <v/>
      </c>
      <c r="L21">
        <f>IFERROR(VLOOKUP($A21,'Deliverables'!$A:$K,11,FALSE),"")</f>
        <v/>
      </c>
      <c r="M21" t="inlineStr"/>
      <c r="N21" t="inlineStr"/>
    </row>
    <row r="22">
      <c r="A22" t="inlineStr">
        <is>
          <t>D-007</t>
        </is>
      </c>
      <c r="B22" t="inlineStr">
        <is>
          <t>Deliverable</t>
        </is>
      </c>
      <c r="C22">
        <f>IFERROR(VLOOKUP($A22,'Deliverables'!$A:$K,3,FALSE),"")</f>
        <v/>
      </c>
      <c r="D22">
        <f>IFERROR(VLOOKUP($A22,'Deliverables'!$A:$K,2,FALSE),"")</f>
        <v/>
      </c>
      <c r="E22">
        <f>IFERROR(VLOOKUP($A22,'Deliverables'!$A:$K,6,FALSE),"")</f>
        <v/>
      </c>
      <c r="F22">
        <f>IFERROR(IF(F22="","",G22-F22),"")</f>
        <v/>
      </c>
      <c r="G22">
        <f>IFERROR(VLOOKUP($A22,'Deliverables'!$A:$K,7,FALSE),"")</f>
        <v/>
      </c>
      <c r="H22">
        <f>IFERROR(VLOOKUP($A22,'Deliverables'!$A:$K,8,FALSE),"")</f>
        <v/>
      </c>
      <c r="I22">
        <f>IFERROR(VLOOKUP($A22,'Deliverables'!$A:$K,5,FALSE),"")</f>
        <v/>
      </c>
      <c r="J22">
        <f>IFERROR(VLOOKUP($A22,'Deliverables'!$A:$K,9,FALSE),"")</f>
        <v/>
      </c>
      <c r="K22">
        <f>IFERROR(VLOOKUP($A22,'Deliverables'!$A:$K,10,FALSE),"")</f>
        <v/>
      </c>
      <c r="L22">
        <f>IFERROR(VLOOKUP($A22,'Deliverables'!$A:$K,11,FALSE),"")</f>
        <v/>
      </c>
      <c r="M22" t="inlineStr"/>
      <c r="N22" t="inlineStr"/>
    </row>
    <row r="23">
      <c r="A23" t="inlineStr">
        <is>
          <t>D-008</t>
        </is>
      </c>
      <c r="B23" t="inlineStr">
        <is>
          <t>Deliverable</t>
        </is>
      </c>
      <c r="C23">
        <f>IFERROR(VLOOKUP($A23,'Deliverables'!$A:$K,3,FALSE),"")</f>
        <v/>
      </c>
      <c r="D23">
        <f>IFERROR(VLOOKUP($A23,'Deliverables'!$A:$K,2,FALSE),"")</f>
        <v/>
      </c>
      <c r="E23">
        <f>IFERROR(VLOOKUP($A23,'Deliverables'!$A:$K,6,FALSE),"")</f>
        <v/>
      </c>
      <c r="F23">
        <f>IFERROR(IF(F23="","",G23-F23),"")</f>
        <v/>
      </c>
      <c r="G23">
        <f>IFERROR(VLOOKUP($A23,'Deliverables'!$A:$K,7,FALSE),"")</f>
        <v/>
      </c>
      <c r="H23">
        <f>IFERROR(VLOOKUP($A23,'Deliverables'!$A:$K,8,FALSE),"")</f>
        <v/>
      </c>
      <c r="I23">
        <f>IFERROR(VLOOKUP($A23,'Deliverables'!$A:$K,5,FALSE),"")</f>
        <v/>
      </c>
      <c r="J23">
        <f>IFERROR(VLOOKUP($A23,'Deliverables'!$A:$K,9,FALSE),"")</f>
        <v/>
      </c>
      <c r="K23">
        <f>IFERROR(VLOOKUP($A23,'Deliverables'!$A:$K,10,FALSE),"")</f>
        <v/>
      </c>
      <c r="L23">
        <f>IFERROR(VLOOKUP($A23,'Deliverables'!$A:$K,11,FALSE),"")</f>
        <v/>
      </c>
      <c r="M23" t="inlineStr"/>
      <c r="N23" t="inlineStr"/>
    </row>
    <row r="24">
      <c r="A24" t="inlineStr">
        <is>
          <t>D-009</t>
        </is>
      </c>
      <c r="B24" t="inlineStr">
        <is>
          <t>Deliverable</t>
        </is>
      </c>
      <c r="C24">
        <f>IFERROR(VLOOKUP($A24,'Deliverables'!$A:$K,3,FALSE),"")</f>
        <v/>
      </c>
      <c r="D24">
        <f>IFERROR(VLOOKUP($A24,'Deliverables'!$A:$K,2,FALSE),"")</f>
        <v/>
      </c>
      <c r="E24">
        <f>IFERROR(VLOOKUP($A24,'Deliverables'!$A:$K,6,FALSE),"")</f>
        <v/>
      </c>
      <c r="F24">
        <f>IFERROR(IF(F24="","",G24-F24),"")</f>
        <v/>
      </c>
      <c r="G24">
        <f>IFERROR(VLOOKUP($A24,'Deliverables'!$A:$K,7,FALSE),"")</f>
        <v/>
      </c>
      <c r="H24">
        <f>IFERROR(VLOOKUP($A24,'Deliverables'!$A:$K,8,FALSE),"")</f>
        <v/>
      </c>
      <c r="I24">
        <f>IFERROR(VLOOKUP($A24,'Deliverables'!$A:$K,5,FALSE),"")</f>
        <v/>
      </c>
      <c r="J24">
        <f>IFERROR(VLOOKUP($A24,'Deliverables'!$A:$K,9,FALSE),"")</f>
        <v/>
      </c>
      <c r="K24">
        <f>IFERROR(VLOOKUP($A24,'Deliverables'!$A:$K,10,FALSE),"")</f>
        <v/>
      </c>
      <c r="L24">
        <f>IFERROR(VLOOKUP($A24,'Deliverables'!$A:$K,11,FALSE),"")</f>
        <v/>
      </c>
      <c r="M24" t="inlineStr"/>
      <c r="N24" t="inlineStr"/>
    </row>
    <row r="25">
      <c r="A25" t="inlineStr">
        <is>
          <t>D-010</t>
        </is>
      </c>
      <c r="B25" t="inlineStr">
        <is>
          <t>Deliverable</t>
        </is>
      </c>
      <c r="C25">
        <f>IFERROR(VLOOKUP($A25,'Deliverables'!$A:$K,3,FALSE),"")</f>
        <v/>
      </c>
      <c r="D25">
        <f>IFERROR(VLOOKUP($A25,'Deliverables'!$A:$K,2,FALSE),"")</f>
        <v/>
      </c>
      <c r="E25">
        <f>IFERROR(VLOOKUP($A25,'Deliverables'!$A:$K,6,FALSE),"")</f>
        <v/>
      </c>
      <c r="F25">
        <f>IFERROR(IF(F25="","",G25-F25),"")</f>
        <v/>
      </c>
      <c r="G25">
        <f>IFERROR(VLOOKUP($A25,'Deliverables'!$A:$K,7,FALSE),"")</f>
        <v/>
      </c>
      <c r="H25">
        <f>IFERROR(VLOOKUP($A25,'Deliverables'!$A:$K,8,FALSE),"")</f>
        <v/>
      </c>
      <c r="I25">
        <f>IFERROR(VLOOKUP($A25,'Deliverables'!$A:$K,5,FALSE),"")</f>
        <v/>
      </c>
      <c r="J25">
        <f>IFERROR(VLOOKUP($A25,'Deliverables'!$A:$K,9,FALSE),"")</f>
        <v/>
      </c>
      <c r="K25">
        <f>IFERROR(VLOOKUP($A25,'Deliverables'!$A:$K,10,FALSE),"")</f>
        <v/>
      </c>
      <c r="L25">
        <f>IFERROR(VLOOKUP($A25,'Deliverables'!$A:$K,11,FALSE),"")</f>
        <v/>
      </c>
      <c r="M25" t="inlineStr"/>
      <c r="N25" t="inlineStr"/>
    </row>
  </sheetData>
  <dataValidations count="1">
    <dataValidation sqref="B2:B1000" showDropDown="0" showInputMessage="0" showErrorMessage="0" allowBlank="1" errorTitle="Invalid Value" error="Please select from: Project, Task, Deliverable" type="list">
      <formula1>"Project,Task,Deliverable"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EFF8"/>
    <outlinePr summaryBelow="1" summaryRight="1"/>
    <pageSetUpPr/>
  </sheetPr>
  <dimension ref="A1:R2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</cols>
  <sheetData>
    <row r="1">
      <c r="A1" s="14" t="inlineStr">
        <is>
          <t>Item ID</t>
        </is>
      </c>
      <c r="B1" s="14" t="inlineStr">
        <is>
          <t>Title</t>
        </is>
      </c>
      <c r="C1" s="14" t="inlineStr">
        <is>
          <t>Start</t>
        </is>
      </c>
      <c r="D1" s="14" t="inlineStr">
        <is>
          <t>End</t>
        </is>
      </c>
      <c r="E1" s="14" t="inlineStr">
        <is>
          <t>Status</t>
        </is>
      </c>
      <c r="F1" s="15" t="n">
        <v>46118</v>
      </c>
      <c r="G1" s="15" t="n">
        <v>46125</v>
      </c>
      <c r="H1" s="15" t="n">
        <v>46132</v>
      </c>
      <c r="I1" s="15" t="n">
        <v>46139</v>
      </c>
      <c r="J1" s="15" t="n">
        <v>46146</v>
      </c>
      <c r="K1" s="15" t="n">
        <v>46153</v>
      </c>
      <c r="L1" s="15" t="n">
        <v>46160</v>
      </c>
      <c r="M1" s="15" t="n">
        <v>46167</v>
      </c>
      <c r="N1" s="15" t="n">
        <v>46174</v>
      </c>
      <c r="O1" s="15" t="n">
        <v>46181</v>
      </c>
      <c r="P1" s="15" t="n">
        <v>46188</v>
      </c>
      <c r="Q1" s="15" t="n">
        <v>46195</v>
      </c>
      <c r="R1" s="15" t="n">
        <v>46202</v>
      </c>
    </row>
    <row r="2">
      <c r="A2" t="inlineStr">
        <is>
          <t>P-001</t>
        </is>
      </c>
      <c r="B2">
        <f>IFERROR(VLOOKUP($A2,'Timelines'!$A:$K,3,FALSE),"")</f>
        <v/>
      </c>
      <c r="C2">
        <f>IFERROR(VLOOKUP($A2,'Timelines'!$A:$K,5,FALSE),"")</f>
        <v/>
      </c>
      <c r="D2">
        <f>IFERROR(VLOOKUP($A2,'Timelines'!$A:$K,7,FALSE),"")</f>
        <v/>
      </c>
      <c r="E2">
        <f>IFERROR(VLOOKUP($A2,'Timelines'!$A:$K,9,FALSE),"")</f>
        <v/>
      </c>
    </row>
    <row r="3">
      <c r="A3" t="inlineStr">
        <is>
          <t>P-002</t>
        </is>
      </c>
      <c r="B3">
        <f>IFERROR(VLOOKUP($A3,'Timelines'!$A:$K,3,FALSE),"")</f>
        <v/>
      </c>
      <c r="C3">
        <f>IFERROR(VLOOKUP($A3,'Timelines'!$A:$K,5,FALSE),"")</f>
        <v/>
      </c>
      <c r="D3">
        <f>IFERROR(VLOOKUP($A3,'Timelines'!$A:$K,7,FALSE),"")</f>
        <v/>
      </c>
      <c r="E3">
        <f>IFERROR(VLOOKUP($A3,'Timelines'!$A:$K,9,FALSE),"")</f>
        <v/>
      </c>
    </row>
    <row r="4">
      <c r="A4" t="inlineStr">
        <is>
          <t>P-003</t>
        </is>
      </c>
      <c r="B4">
        <f>IFERROR(VLOOKUP($A4,'Timelines'!$A:$K,3,FALSE),"")</f>
        <v/>
      </c>
      <c r="C4">
        <f>IFERROR(VLOOKUP($A4,'Timelines'!$A:$K,5,FALSE),"")</f>
        <v/>
      </c>
      <c r="D4">
        <f>IFERROR(VLOOKUP($A4,'Timelines'!$A:$K,7,FALSE),"")</f>
        <v/>
      </c>
      <c r="E4">
        <f>IFERROR(VLOOKUP($A4,'Timelines'!$A:$K,9,FALSE),"")</f>
        <v/>
      </c>
    </row>
    <row r="5">
      <c r="A5" t="inlineStr">
        <is>
          <t>P-004</t>
        </is>
      </c>
      <c r="B5">
        <f>IFERROR(VLOOKUP($A5,'Timelines'!$A:$K,3,FALSE),"")</f>
        <v/>
      </c>
      <c r="C5">
        <f>IFERROR(VLOOKUP($A5,'Timelines'!$A:$K,5,FALSE),"")</f>
        <v/>
      </c>
      <c r="D5">
        <f>IFERROR(VLOOKUP($A5,'Timelines'!$A:$K,7,FALSE),"")</f>
        <v/>
      </c>
      <c r="E5">
        <f>IFERROR(VLOOKUP($A5,'Timelines'!$A:$K,9,FALSE),"")</f>
        <v/>
      </c>
    </row>
    <row r="6">
      <c r="A6" t="inlineStr">
        <is>
          <t>T-001</t>
        </is>
      </c>
      <c r="B6">
        <f>IFERROR(VLOOKUP($A6,'Timelines'!$A:$K,3,FALSE),"")</f>
        <v/>
      </c>
      <c r="C6">
        <f>IFERROR(VLOOKUP($A6,'Timelines'!$A:$K,5,FALSE),"")</f>
        <v/>
      </c>
      <c r="D6">
        <f>IFERROR(VLOOKUP($A6,'Timelines'!$A:$K,7,FALSE),"")</f>
        <v/>
      </c>
      <c r="E6">
        <f>IFERROR(VLOOKUP($A6,'Timelines'!$A:$K,9,FALSE),"")</f>
        <v/>
      </c>
    </row>
    <row r="7">
      <c r="A7" t="inlineStr">
        <is>
          <t>T-002</t>
        </is>
      </c>
      <c r="B7">
        <f>IFERROR(VLOOKUP($A7,'Timelines'!$A:$K,3,FALSE),"")</f>
        <v/>
      </c>
      <c r="C7">
        <f>IFERROR(VLOOKUP($A7,'Timelines'!$A:$K,5,FALSE),"")</f>
        <v/>
      </c>
      <c r="D7">
        <f>IFERROR(VLOOKUP($A7,'Timelines'!$A:$K,7,FALSE),"")</f>
        <v/>
      </c>
      <c r="E7">
        <f>IFERROR(VLOOKUP($A7,'Timelines'!$A:$K,9,FALSE),"")</f>
        <v/>
      </c>
    </row>
    <row r="8">
      <c r="A8" t="inlineStr">
        <is>
          <t>T-003</t>
        </is>
      </c>
      <c r="B8">
        <f>IFERROR(VLOOKUP($A8,'Timelines'!$A:$K,3,FALSE),"")</f>
        <v/>
      </c>
      <c r="C8">
        <f>IFERROR(VLOOKUP($A8,'Timelines'!$A:$K,5,FALSE),"")</f>
        <v/>
      </c>
      <c r="D8">
        <f>IFERROR(VLOOKUP($A8,'Timelines'!$A:$K,7,FALSE),"")</f>
        <v/>
      </c>
      <c r="E8">
        <f>IFERROR(VLOOKUP($A8,'Timelines'!$A:$K,9,FALSE),"")</f>
        <v/>
      </c>
    </row>
    <row r="9">
      <c r="A9" t="inlineStr">
        <is>
          <t>T-004</t>
        </is>
      </c>
      <c r="B9">
        <f>IFERROR(VLOOKUP($A9,'Timelines'!$A:$K,3,FALSE),"")</f>
        <v/>
      </c>
      <c r="C9">
        <f>IFERROR(VLOOKUP($A9,'Timelines'!$A:$K,5,FALSE),"")</f>
        <v/>
      </c>
      <c r="D9">
        <f>IFERROR(VLOOKUP($A9,'Timelines'!$A:$K,7,FALSE),"")</f>
        <v/>
      </c>
      <c r="E9">
        <f>IFERROR(VLOOKUP($A9,'Timelines'!$A:$K,9,FALSE),"")</f>
        <v/>
      </c>
    </row>
    <row r="10">
      <c r="A10" t="inlineStr">
        <is>
          <t>T-005</t>
        </is>
      </c>
      <c r="B10">
        <f>IFERROR(VLOOKUP($A10,'Timelines'!$A:$K,3,FALSE),"")</f>
        <v/>
      </c>
      <c r="C10">
        <f>IFERROR(VLOOKUP($A10,'Timelines'!$A:$K,5,FALSE),"")</f>
        <v/>
      </c>
      <c r="D10">
        <f>IFERROR(VLOOKUP($A10,'Timelines'!$A:$K,7,FALSE),"")</f>
        <v/>
      </c>
      <c r="E10">
        <f>IFERROR(VLOOKUP($A10,'Timelines'!$A:$K,9,FALSE),"")</f>
        <v/>
      </c>
    </row>
    <row r="11">
      <c r="A11" t="inlineStr">
        <is>
          <t>T-006</t>
        </is>
      </c>
      <c r="B11">
        <f>IFERROR(VLOOKUP($A11,'Timelines'!$A:$K,3,FALSE),"")</f>
        <v/>
      </c>
      <c r="C11">
        <f>IFERROR(VLOOKUP($A11,'Timelines'!$A:$K,5,FALSE),"")</f>
        <v/>
      </c>
      <c r="D11">
        <f>IFERROR(VLOOKUP($A11,'Timelines'!$A:$K,7,FALSE),"")</f>
        <v/>
      </c>
      <c r="E11">
        <f>IFERROR(VLOOKUP($A11,'Timelines'!$A:$K,9,FALSE),"")</f>
        <v/>
      </c>
    </row>
    <row r="12">
      <c r="A12" t="inlineStr">
        <is>
          <t>T-007</t>
        </is>
      </c>
      <c r="B12">
        <f>IFERROR(VLOOKUP($A12,'Timelines'!$A:$K,3,FALSE),"")</f>
        <v/>
      </c>
      <c r="C12">
        <f>IFERROR(VLOOKUP($A12,'Timelines'!$A:$K,5,FALSE),"")</f>
        <v/>
      </c>
      <c r="D12">
        <f>IFERROR(VLOOKUP($A12,'Timelines'!$A:$K,7,FALSE),"")</f>
        <v/>
      </c>
      <c r="E12">
        <f>IFERROR(VLOOKUP($A12,'Timelines'!$A:$K,9,FALSE),"")</f>
        <v/>
      </c>
    </row>
    <row r="13">
      <c r="A13" t="inlineStr">
        <is>
          <t>T-008</t>
        </is>
      </c>
      <c r="B13">
        <f>IFERROR(VLOOKUP($A13,'Timelines'!$A:$K,3,FALSE),"")</f>
        <v/>
      </c>
      <c r="C13">
        <f>IFERROR(VLOOKUP($A13,'Timelines'!$A:$K,5,FALSE),"")</f>
        <v/>
      </c>
      <c r="D13">
        <f>IFERROR(VLOOKUP($A13,'Timelines'!$A:$K,7,FALSE),"")</f>
        <v/>
      </c>
      <c r="E13">
        <f>IFERROR(VLOOKUP($A13,'Timelines'!$A:$K,9,FALSE),"")</f>
        <v/>
      </c>
    </row>
    <row r="14">
      <c r="A14" t="inlineStr">
        <is>
          <t>T-009</t>
        </is>
      </c>
      <c r="B14">
        <f>IFERROR(VLOOKUP($A14,'Timelines'!$A:$K,3,FALSE),"")</f>
        <v/>
      </c>
      <c r="C14">
        <f>IFERROR(VLOOKUP($A14,'Timelines'!$A:$K,5,FALSE),"")</f>
        <v/>
      </c>
      <c r="D14">
        <f>IFERROR(VLOOKUP($A14,'Timelines'!$A:$K,7,FALSE),"")</f>
        <v/>
      </c>
      <c r="E14">
        <f>IFERROR(VLOOKUP($A14,'Timelines'!$A:$K,9,FALSE),"")</f>
        <v/>
      </c>
    </row>
    <row r="15">
      <c r="A15" t="inlineStr">
        <is>
          <t>T-010</t>
        </is>
      </c>
      <c r="B15">
        <f>IFERROR(VLOOKUP($A15,'Timelines'!$A:$K,3,FALSE),"")</f>
        <v/>
      </c>
      <c r="C15">
        <f>IFERROR(VLOOKUP($A15,'Timelines'!$A:$K,5,FALSE),"")</f>
        <v/>
      </c>
      <c r="D15">
        <f>IFERROR(VLOOKUP($A15,'Timelines'!$A:$K,7,FALSE),"")</f>
        <v/>
      </c>
      <c r="E15">
        <f>IFERROR(VLOOKUP($A15,'Timelines'!$A:$K,9,FALSE),"")</f>
        <v/>
      </c>
    </row>
    <row r="16">
      <c r="A16" t="inlineStr">
        <is>
          <t>D-001</t>
        </is>
      </c>
      <c r="B16">
        <f>IFERROR(VLOOKUP($A16,'Timelines'!$A:$K,3,FALSE),"")</f>
        <v/>
      </c>
      <c r="C16">
        <f>IFERROR(VLOOKUP($A16,'Timelines'!$A:$K,5,FALSE),"")</f>
        <v/>
      </c>
      <c r="D16">
        <f>IFERROR(VLOOKUP($A16,'Timelines'!$A:$K,7,FALSE),"")</f>
        <v/>
      </c>
      <c r="E16">
        <f>IFERROR(VLOOKUP($A16,'Timelines'!$A:$K,9,FALSE),"")</f>
        <v/>
      </c>
    </row>
    <row r="17">
      <c r="A17" t="inlineStr">
        <is>
          <t>D-002</t>
        </is>
      </c>
      <c r="B17">
        <f>IFERROR(VLOOKUP($A17,'Timelines'!$A:$K,3,FALSE),"")</f>
        <v/>
      </c>
      <c r="C17">
        <f>IFERROR(VLOOKUP($A17,'Timelines'!$A:$K,5,FALSE),"")</f>
        <v/>
      </c>
      <c r="D17">
        <f>IFERROR(VLOOKUP($A17,'Timelines'!$A:$K,7,FALSE),"")</f>
        <v/>
      </c>
      <c r="E17">
        <f>IFERROR(VLOOKUP($A17,'Timelines'!$A:$K,9,FALSE),"")</f>
        <v/>
      </c>
    </row>
    <row r="18">
      <c r="A18" t="inlineStr">
        <is>
          <t>D-003</t>
        </is>
      </c>
      <c r="B18">
        <f>IFERROR(VLOOKUP($A18,'Timelines'!$A:$K,3,FALSE),"")</f>
        <v/>
      </c>
      <c r="C18">
        <f>IFERROR(VLOOKUP($A18,'Timelines'!$A:$K,5,FALSE),"")</f>
        <v/>
      </c>
      <c r="D18">
        <f>IFERROR(VLOOKUP($A18,'Timelines'!$A:$K,7,FALSE),"")</f>
        <v/>
      </c>
      <c r="E18">
        <f>IFERROR(VLOOKUP($A18,'Timelines'!$A:$K,9,FALSE),"")</f>
        <v/>
      </c>
    </row>
    <row r="19">
      <c r="A19" t="inlineStr">
        <is>
          <t>D-005</t>
        </is>
      </c>
      <c r="B19">
        <f>IFERROR(VLOOKUP($A19,'Timelines'!$A:$K,3,FALSE),"")</f>
        <v/>
      </c>
      <c r="C19">
        <f>IFERROR(VLOOKUP($A19,'Timelines'!$A:$K,5,FALSE),"")</f>
        <v/>
      </c>
      <c r="D19">
        <f>IFERROR(VLOOKUP($A19,'Timelines'!$A:$K,7,FALSE),"")</f>
        <v/>
      </c>
      <c r="E19">
        <f>IFERROR(VLOOKUP($A19,'Timelines'!$A:$K,9,FALSE),"")</f>
        <v/>
      </c>
    </row>
    <row r="20">
      <c r="A20" t="inlineStr">
        <is>
          <t>D-006</t>
        </is>
      </c>
      <c r="B20">
        <f>IFERROR(VLOOKUP($A20,'Timelines'!$A:$K,3,FALSE),"")</f>
        <v/>
      </c>
      <c r="C20">
        <f>IFERROR(VLOOKUP($A20,'Timelines'!$A:$K,5,FALSE),"")</f>
        <v/>
      </c>
      <c r="D20">
        <f>IFERROR(VLOOKUP($A20,'Timelines'!$A:$K,7,FALSE),"")</f>
        <v/>
      </c>
      <c r="E20">
        <f>IFERROR(VLOOKUP($A20,'Timelines'!$A:$K,9,FALSE),"")</f>
        <v/>
      </c>
    </row>
    <row r="21">
      <c r="A21" t="inlineStr">
        <is>
          <t>D-007</t>
        </is>
      </c>
      <c r="B21">
        <f>IFERROR(VLOOKUP($A21,'Timelines'!$A:$K,3,FALSE),"")</f>
        <v/>
      </c>
      <c r="C21">
        <f>IFERROR(VLOOKUP($A21,'Timelines'!$A:$K,5,FALSE),"")</f>
        <v/>
      </c>
      <c r="D21">
        <f>IFERROR(VLOOKUP($A21,'Timelines'!$A:$K,7,FALSE),"")</f>
        <v/>
      </c>
      <c r="E21">
        <f>IFERROR(VLOOKUP($A21,'Timelines'!$A:$K,9,FALSE),"")</f>
        <v/>
      </c>
    </row>
    <row r="22">
      <c r="A22" t="inlineStr">
        <is>
          <t>D-008</t>
        </is>
      </c>
      <c r="B22">
        <f>IFERROR(VLOOKUP($A22,'Timelines'!$A:$K,3,FALSE),"")</f>
        <v/>
      </c>
      <c r="C22">
        <f>IFERROR(VLOOKUP($A22,'Timelines'!$A:$K,5,FALSE),"")</f>
        <v/>
      </c>
      <c r="D22">
        <f>IFERROR(VLOOKUP($A22,'Timelines'!$A:$K,7,FALSE),"")</f>
        <v/>
      </c>
      <c r="E22">
        <f>IFERROR(VLOOKUP($A22,'Timelines'!$A:$K,9,FALSE),"")</f>
        <v/>
      </c>
    </row>
    <row r="23">
      <c r="A23" t="inlineStr">
        <is>
          <t>D-009</t>
        </is>
      </c>
      <c r="B23">
        <f>IFERROR(VLOOKUP($A23,'Timelines'!$A:$K,3,FALSE),"")</f>
        <v/>
      </c>
      <c r="C23">
        <f>IFERROR(VLOOKUP($A23,'Timelines'!$A:$K,5,FALSE),"")</f>
        <v/>
      </c>
      <c r="D23">
        <f>IFERROR(VLOOKUP($A23,'Timelines'!$A:$K,7,FALSE),"")</f>
        <v/>
      </c>
      <c r="E23">
        <f>IFERROR(VLOOKUP($A23,'Timelines'!$A:$K,9,FALSE),"")</f>
        <v/>
      </c>
    </row>
    <row r="24">
      <c r="A24" t="inlineStr">
        <is>
          <t>D-010</t>
        </is>
      </c>
      <c r="B24">
        <f>IFERROR(VLOOKUP($A24,'Timelines'!$A:$K,3,FALSE),"")</f>
        <v/>
      </c>
      <c r="C24">
        <f>IFERROR(VLOOKUP($A24,'Timelines'!$A:$K,5,FALSE),"")</f>
        <v/>
      </c>
      <c r="D24">
        <f>IFERROR(VLOOKUP($A24,'Timelines'!$A:$K,7,FALSE),"")</f>
        <v/>
      </c>
      <c r="E24">
        <f>IFERROR(VLOOKUP($A24,'Timelines'!$A:$K,9,FALSE),"")</f>
        <v/>
      </c>
    </row>
    <row r="25">
      <c r="A25" s="16" t="inlineStr">
        <is>
          <t>No Scheduled Start</t>
        </is>
      </c>
      <c r="B25" s="17" t="n"/>
      <c r="C25" s="17" t="n"/>
      <c r="D25" s="17" t="n"/>
      <c r="E25" s="17" t="n"/>
    </row>
    <row r="26">
      <c r="A26" t="inlineStr">
        <is>
          <t>D-004</t>
        </is>
      </c>
      <c r="B26">
        <f>IFERROR(VLOOKUP($A26,'Timelines'!$A:$K,3,FALSE),"")</f>
        <v/>
      </c>
      <c r="C26">
        <f>IFERROR(VLOOKUP($A26,'Timelines'!$A:$K,5,FALSE),"")</f>
        <v/>
      </c>
      <c r="D26">
        <f>IFERROR(VLOOKUP($A26,'Timelines'!$A:$K,7,FALSE),"")</f>
        <v/>
      </c>
      <c r="E26">
        <f>IFERROR(VLOOKUP($A26,'Timelines'!$A:$K,9,FALSE),"")</f>
        <v/>
      </c>
    </row>
  </sheetData>
  <conditionalFormatting sqref="F2:R26">
    <cfRule type="expression" priority="1" dxfId="0">
      <formula>AND(F$1&gt;=$C2,F$1&lt;=$D2,SEARCH("complet",$E2)&gt;0)</formula>
    </cfRule>
    <cfRule type="expression" priority="2" dxfId="1">
      <formula>AND(F$1&gt;=$C2,F$1&lt;=$D2,$D2&lt;TODAY(),ISERROR(SEARCH("complet",$E2)))</formula>
    </cfRule>
    <cfRule type="expression" priority="3" dxfId="2">
      <formula>AND(F$1&gt;=$C2,F$1&lt;=$D2,ISERROR(SEARCH("complet",$E2)))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2026-04-13T16:39:52Z</dcterms:created>
  <dcterms:modified xsi:type="dcterms:W3CDTF">2026-04-13T20:00:09Z</dcterms:modified>
</cp:coreProperties>
</file>