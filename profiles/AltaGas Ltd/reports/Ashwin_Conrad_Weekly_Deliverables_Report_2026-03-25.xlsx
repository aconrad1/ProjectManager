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3DA5"/>
      <sz val="20"/>
    </font>
    <font>
      <name val="Calibri"/>
      <b val="1"/>
      <color rgb="00FFFFFF"/>
      <sz val="9"/>
    </font>
    <font>
      <name val="Calibri"/>
      <color rgb="00FFFFFF"/>
      <sz val="8"/>
    </font>
    <font>
      <name val="Calibri"/>
      <color rgb="00336BBF"/>
      <sz val="12"/>
    </font>
    <font>
      <name val="Calibri"/>
      <b val="1"/>
      <color rgb="00003DA5"/>
      <sz val="14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03DA5"/>
        <bgColor rgb="00003DA5"/>
      </patternFill>
    </fill>
    <fill>
      <patternFill patternType="solid">
        <fgColor rgb="00E6EFF8"/>
        <bgColor rgb="00E6EFF8"/>
      </patternFill>
    </fill>
    <fill>
      <patternFill patternType="solid">
        <fgColor rgb="00B3CDE3"/>
        <bgColor rgb="00B3CDE3"/>
      </patternFill>
    </fill>
    <fill>
      <patternFill patternType="solid">
        <fgColor rgb="00D6EAF8"/>
        <bgColor rgb="00D6EAF8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textRotation="90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2E8B57"/>
          <bgColor rgb="002E8B57"/>
        </patternFill>
      </fill>
    </dxf>
    <dxf>
      <fill>
        <patternFill patternType="solid">
          <fgColor rgb="00C0392B"/>
          <bgColor rgb="00C0392B"/>
        </patternFill>
      </fill>
    </dxf>
    <dxf>
      <fill>
        <patternFill patternType="solid">
          <fgColor rgb="00336BBF"/>
          <bgColor rgb="00336B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DA5"/>
    <outlinePr summaryBelow="1" summaryRight="1"/>
    <pageSetUpPr/>
  </sheetPr>
  <dimension ref="B1:I47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Weekly Dashboard — March 25, 2026</t>
        </is>
      </c>
    </row>
    <row r="2">
      <c r="B2" s="6" t="inlineStr">
        <is>
          <t>Ashwin Conrad  |  Engineering Co-op Student  |  AltaGas Ltd.</t>
        </is>
      </c>
    </row>
    <row r="4">
      <c r="B4" s="7" t="inlineStr">
        <is>
          <t>Project Status Summary</t>
        </is>
      </c>
    </row>
    <row r="5">
      <c r="B5" s="2" t="inlineStr">
        <is>
          <t>Project</t>
        </is>
      </c>
      <c r="C5" s="2" t="inlineStr">
        <is>
          <t>Category</t>
        </is>
      </c>
      <c r="D5" s="2" t="inlineStr">
        <is>
          <t>Status</t>
        </is>
      </c>
      <c r="E5" s="2" t="inlineStr">
        <is>
          <t>Priority</t>
        </is>
      </c>
      <c r="F5" s="2" t="inlineStr">
        <is>
          <t>Active Tasks</t>
        </is>
      </c>
      <c r="G5" s="2" t="inlineStr">
        <is>
          <t>% Complete</t>
        </is>
      </c>
      <c r="H5" s="2" t="inlineStr">
        <is>
          <t>Allocated (hrs)</t>
        </is>
      </c>
      <c r="I5" s="2" t="inlineStr">
        <is>
          <t>Spent (hrs)</t>
        </is>
      </c>
    </row>
    <row r="6">
      <c r="B6" s="10" t="inlineStr">
        <is>
          <t>Safety Critical Element (SCE) Identification</t>
        </is>
      </c>
      <c r="C6" s="10" t="inlineStr">
        <is>
          <t>Weekly</t>
        </is>
      </c>
      <c r="D6" s="10" t="inlineStr">
        <is>
          <t>In Progress</t>
        </is>
      </c>
      <c r="E6" s="10" t="inlineStr">
        <is>
          <t>P1 – Urgent</t>
        </is>
      </c>
      <c r="F6" s="10" t="n">
        <v>3</v>
      </c>
      <c r="G6" s="10" t="inlineStr">
        <is>
          <t>9/21</t>
        </is>
      </c>
      <c r="H6" s="10" t="inlineStr">
        <is>
          <t>—</t>
        </is>
      </c>
      <c r="I6" s="10" t="inlineStr">
        <is>
          <t>—</t>
        </is>
      </c>
    </row>
    <row r="7">
      <c r="B7" s="11" t="inlineStr">
        <is>
          <t>Brazed Aluminum Heat Exchanger (BAHX) Study</t>
        </is>
      </c>
      <c r="C7" s="11" t="inlineStr">
        <is>
          <t>Weekly</t>
        </is>
      </c>
      <c r="D7" s="11" t="inlineStr">
        <is>
          <t>In Progress</t>
        </is>
      </c>
      <c r="E7" s="11" t="inlineStr">
        <is>
          <t>P1 – Urgent</t>
        </is>
      </c>
      <c r="F7" s="11" t="n">
        <v>4</v>
      </c>
      <c r="G7" s="11" t="inlineStr">
        <is>
          <t>7/19</t>
        </is>
      </c>
      <c r="H7" s="11" t="inlineStr">
        <is>
          <t>—</t>
        </is>
      </c>
      <c r="I7" s="11" t="inlineStr">
        <is>
          <t>—</t>
        </is>
      </c>
    </row>
    <row r="8">
      <c r="B8" s="10" t="inlineStr">
        <is>
          <t>Corrosion Coupon Dashboard</t>
        </is>
      </c>
      <c r="C8" s="10" t="inlineStr">
        <is>
          <t>Ongoing</t>
        </is>
      </c>
      <c r="D8" s="10" t="inlineStr">
        <is>
          <t>In Progress</t>
        </is>
      </c>
      <c r="E8" s="10" t="inlineStr">
        <is>
          <t>P2 – High</t>
        </is>
      </c>
      <c r="F8" s="10" t="n">
        <v>2</v>
      </c>
      <c r="G8" s="10" t="inlineStr">
        <is>
          <t>4/13</t>
        </is>
      </c>
      <c r="H8" s="10" t="inlineStr">
        <is>
          <t>—</t>
        </is>
      </c>
      <c r="I8" s="10" t="inlineStr">
        <is>
          <t>—</t>
        </is>
      </c>
    </row>
    <row r="9">
      <c r="B9" s="11" t="inlineStr">
        <is>
          <t>Inspection Scope Tool</t>
        </is>
      </c>
      <c r="C9" s="11" t="inlineStr">
        <is>
          <t>Ongoing</t>
        </is>
      </c>
      <c r="D9" s="11" t="inlineStr">
        <is>
          <t>In Progress</t>
        </is>
      </c>
      <c r="E9" s="11" t="inlineStr">
        <is>
          <t>P2 – High</t>
        </is>
      </c>
      <c r="F9" s="11" t="n">
        <v>1</v>
      </c>
      <c r="G9" s="11" t="inlineStr">
        <is>
          <t>4/8</t>
        </is>
      </c>
      <c r="H9" s="11" t="inlineStr">
        <is>
          <t>—</t>
        </is>
      </c>
      <c r="I9" s="11" t="inlineStr">
        <is>
          <t>—</t>
        </is>
      </c>
    </row>
    <row r="10">
      <c r="B10" s="10" t="inlineStr">
        <is>
          <t>PI Vision Screen Cleanup</t>
        </is>
      </c>
      <c r="C10" s="10" t="inlineStr">
        <is>
          <t>Ongoing</t>
        </is>
      </c>
      <c r="D10" s="10" t="inlineStr">
        <is>
          <t>Ongoing</t>
        </is>
      </c>
      <c r="E10" s="10" t="inlineStr">
        <is>
          <t>P5 – Background</t>
        </is>
      </c>
      <c r="F10" s="10" t="n">
        <v>1</v>
      </c>
      <c r="G10" s="10" t="inlineStr">
        <is>
          <t>0/3</t>
        </is>
      </c>
      <c r="H10" s="10" t="inlineStr">
        <is>
          <t>—</t>
        </is>
      </c>
      <c r="I10" s="10" t="inlineStr">
        <is>
          <t>—</t>
        </is>
      </c>
    </row>
    <row r="11">
      <c r="B11" s="11" t="inlineStr">
        <is>
          <t>AI &amp; Python Workflow Automation</t>
        </is>
      </c>
      <c r="C11" s="11" t="inlineStr">
        <is>
          <t>Ongoing</t>
        </is>
      </c>
      <c r="D11" s="11" t="inlineStr">
        <is>
          <t>Ongoing</t>
        </is>
      </c>
      <c r="E11" s="11" t="inlineStr">
        <is>
          <t>P5 – Background</t>
        </is>
      </c>
      <c r="F11" s="11" t="n">
        <v>1</v>
      </c>
      <c r="G11" s="11" t="inlineStr">
        <is>
          <t>0/3</t>
        </is>
      </c>
      <c r="H11" s="11" t="inlineStr">
        <is>
          <t>—</t>
        </is>
      </c>
      <c r="I11" s="11" t="inlineStr">
        <is>
          <t>—</t>
        </is>
      </c>
    </row>
    <row r="13">
      <c r="B13" s="7" t="inlineStr">
        <is>
          <t>Weekly Schedule</t>
        </is>
      </c>
    </row>
    <row r="14">
      <c r="B14" s="2" t="inlineStr">
        <is>
          <t>Priority</t>
        </is>
      </c>
      <c r="C14" s="2" t="inlineStr">
        <is>
          <t>Wed 03/25</t>
        </is>
      </c>
      <c r="D14" s="2" t="inlineStr">
        <is>
          <t>Thu 03/26</t>
        </is>
      </c>
      <c r="E14" s="2" t="inlineStr">
        <is>
          <t>Fri 03/27</t>
        </is>
      </c>
      <c r="F14" s="2" t="inlineStr">
        <is>
          <t>Sat 03/28</t>
        </is>
      </c>
      <c r="G14" s="2" t="inlineStr">
        <is>
          <t>Sun 03/29</t>
        </is>
      </c>
      <c r="H14" s="2" t="inlineStr">
        <is>
          <t>Mon 03/30</t>
        </is>
      </c>
      <c r="I14" s="2" t="inlineStr">
        <is>
          <t>Tue 03/31</t>
        </is>
      </c>
    </row>
    <row r="15">
      <c r="B15" s="8" t="inlineStr">
        <is>
          <t>P1 – Urgent</t>
        </is>
      </c>
      <c r="C15" s="14" t="inlineStr">
        <is>
          <t>SCE Identification - Harmattan &amp; EEEP</t>
        </is>
      </c>
      <c r="D15" s="14" t="inlineStr">
        <is>
          <t>BAHX Final Report</t>
        </is>
      </c>
      <c r="E15" s="9" t="inlineStr"/>
      <c r="F15" s="12" t="inlineStr"/>
      <c r="G15" s="9" t="inlineStr"/>
      <c r="H15" s="12" t="inlineStr"/>
      <c r="I15" s="9" t="inlineStr"/>
    </row>
    <row r="16">
      <c r="B16" s="8" t="inlineStr">
        <is>
          <t>P2 – High</t>
        </is>
      </c>
      <c r="C16" s="14" t="inlineStr">
        <is>
          <t>Maximo Tag Matching</t>
        </is>
      </c>
      <c r="D16" s="14" t="inlineStr">
        <is>
          <t>BAHX Vendor Meeting - April 1</t>
        </is>
      </c>
      <c r="E16" s="14" t="inlineStr">
        <is>
          <t>BAHX Presentation</t>
        </is>
      </c>
      <c r="F16" s="15" t="inlineStr">
        <is>
          <t>SCE Site Review Meetings</t>
        </is>
      </c>
      <c r="G16" s="15" t="inlineStr">
        <is>
          <t>Auto-Triggered Email Data Pipeline</t>
        </is>
      </c>
      <c r="H16" s="9" t="inlineStr"/>
      <c r="I16" s="12" t="inlineStr"/>
    </row>
    <row r="17">
      <c r="B17" s="8" t="inlineStr">
        <is>
          <t>P3 – Medium</t>
        </is>
      </c>
      <c r="C17" s="14" t="inlineStr">
        <is>
          <t>BAHX SOP Review</t>
        </is>
      </c>
      <c r="D17" s="15" t="inlineStr">
        <is>
          <t>Inspection Scope Tool - Handoff Documentation</t>
        </is>
      </c>
      <c r="E17" s="15" t="inlineStr">
        <is>
          <t>Corrosion Dashboard Handoff Documentation</t>
        </is>
      </c>
      <c r="F17" s="12" t="inlineStr"/>
      <c r="G17" s="9" t="inlineStr"/>
      <c r="H17" s="12" t="inlineStr"/>
      <c r="I17" s="9" t="inlineStr"/>
    </row>
    <row r="18">
      <c r="B18" s="8" t="inlineStr">
        <is>
          <t>P4 – Low</t>
        </is>
      </c>
      <c r="C18" s="12" t="inlineStr"/>
      <c r="D18" s="9" t="inlineStr"/>
      <c r="E18" s="12" t="inlineStr"/>
      <c r="F18" s="9" t="inlineStr"/>
      <c r="G18" s="12" t="inlineStr"/>
      <c r="H18" s="9" t="inlineStr"/>
      <c r="I18" s="12" t="inlineStr"/>
    </row>
    <row r="19">
      <c r="B19" s="8" t="inlineStr">
        <is>
          <t>P5 – Background</t>
        </is>
      </c>
      <c r="C19" s="9" t="inlineStr">
        <is>
          <t>AI &amp; Python Applications - Exploration &amp; Prototyping</t>
        </is>
      </c>
      <c r="D19" s="9" t="inlineStr">
        <is>
          <t>PI Vision Screen Cleanup - Units, Tags, and Navigation</t>
        </is>
      </c>
      <c r="E19" s="9" t="inlineStr"/>
      <c r="F19" s="12" t="inlineStr"/>
      <c r="G19" s="9" t="inlineStr"/>
      <c r="H19" s="12" t="inlineStr"/>
      <c r="I19" s="9" t="inlineStr"/>
    </row>
    <row r="21">
      <c r="B21" s="7" t="inlineStr">
        <is>
          <t>Time Overview</t>
        </is>
      </c>
    </row>
    <row r="22">
      <c r="B22" s="2" t="inlineStr">
        <is>
          <t>Project</t>
        </is>
      </c>
      <c r="C22" s="2" t="inlineStr">
        <is>
          <t>Allocated (hrs)</t>
        </is>
      </c>
      <c r="D22" s="2" t="inlineStr">
        <is>
          <t>Spent (hrs)</t>
        </is>
      </c>
      <c r="E22" s="2" t="inlineStr">
        <is>
          <t>Remaining (hrs)</t>
        </is>
      </c>
      <c r="F22" s="2" t="inlineStr">
        <is>
          <t>Utilization %</t>
        </is>
      </c>
    </row>
    <row r="23">
      <c r="B23" s="10" t="inlineStr">
        <is>
          <t>Safety Critical Element (SCE) Identification</t>
        </is>
      </c>
      <c r="C23" s="10" t="inlineStr">
        <is>
          <t>—</t>
        </is>
      </c>
      <c r="D23" s="10" t="inlineStr">
        <is>
          <t>—</t>
        </is>
      </c>
      <c r="E23" s="10" t="inlineStr">
        <is>
          <t>—</t>
        </is>
      </c>
      <c r="F23" s="10" t="inlineStr">
        <is>
          <t>—</t>
        </is>
      </c>
    </row>
    <row r="24">
      <c r="B24" s="11" t="inlineStr">
        <is>
          <t>Brazed Aluminum Heat Exchanger (BAHX) Study</t>
        </is>
      </c>
      <c r="C24" s="11" t="inlineStr">
        <is>
          <t>—</t>
        </is>
      </c>
      <c r="D24" s="11" t="inlineStr">
        <is>
          <t>—</t>
        </is>
      </c>
      <c r="E24" s="11" t="inlineStr">
        <is>
          <t>—</t>
        </is>
      </c>
      <c r="F24" s="11" t="inlineStr">
        <is>
          <t>—</t>
        </is>
      </c>
    </row>
    <row r="25">
      <c r="B25" s="10" t="inlineStr">
        <is>
          <t>Corrosion Coupon Dashboard</t>
        </is>
      </c>
      <c r="C25" s="10" t="inlineStr">
        <is>
          <t>—</t>
        </is>
      </c>
      <c r="D25" s="10" t="inlineStr">
        <is>
          <t>—</t>
        </is>
      </c>
      <c r="E25" s="10" t="inlineStr">
        <is>
          <t>—</t>
        </is>
      </c>
      <c r="F25" s="10" t="inlineStr">
        <is>
          <t>—</t>
        </is>
      </c>
    </row>
    <row r="26">
      <c r="B26" s="11" t="inlineStr">
        <is>
          <t>Inspection Scope Tool</t>
        </is>
      </c>
      <c r="C26" s="11" t="inlineStr">
        <is>
          <t>—</t>
        </is>
      </c>
      <c r="D26" s="11" t="inlineStr">
        <is>
          <t>—</t>
        </is>
      </c>
      <c r="E26" s="11" t="inlineStr">
        <is>
          <t>—</t>
        </is>
      </c>
      <c r="F26" s="11" t="inlineStr">
        <is>
          <t>—</t>
        </is>
      </c>
    </row>
    <row r="27">
      <c r="B27" s="10" t="inlineStr">
        <is>
          <t>PI Vision Screen Cleanup</t>
        </is>
      </c>
      <c r="C27" s="10" t="inlineStr">
        <is>
          <t>—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—</t>
        </is>
      </c>
    </row>
    <row r="28">
      <c r="B28" s="11" t="inlineStr">
        <is>
          <t>AI &amp; Python Workflow Automation</t>
        </is>
      </c>
      <c r="C28" s="11" t="inlineStr">
        <is>
          <t>—</t>
        </is>
      </c>
      <c r="D28" s="11" t="inlineStr">
        <is>
          <t>—</t>
        </is>
      </c>
      <c r="E28" s="11" t="inlineStr">
        <is>
          <t>—</t>
        </is>
      </c>
      <c r="F28" s="11" t="inlineStr">
        <is>
          <t>—</t>
        </is>
      </c>
    </row>
    <row r="29">
      <c r="B29" s="16" t="inlineStr">
        <is>
          <t>TOTAL</t>
        </is>
      </c>
      <c r="C29" s="16" t="inlineStr">
        <is>
          <t>—</t>
        </is>
      </c>
      <c r="D29" s="16" t="inlineStr">
        <is>
          <t>—</t>
        </is>
      </c>
      <c r="E29" s="16" t="inlineStr">
        <is>
          <t>—</t>
        </is>
      </c>
      <c r="F29" s="16" t="inlineStr">
        <is>
          <t>—</t>
        </is>
      </c>
    </row>
    <row r="31">
      <c r="B31" s="7" t="inlineStr">
        <is>
          <t>Upcoming Deadlines (Next 14 Days)</t>
        </is>
      </c>
    </row>
    <row r="32">
      <c r="B32" s="2" t="inlineStr">
        <is>
          <t>Deadline</t>
        </is>
      </c>
      <c r="C32" s="2" t="inlineStr">
        <is>
          <t>Item</t>
        </is>
      </c>
      <c r="D32" s="2" t="inlineStr">
        <is>
          <t>Status</t>
        </is>
      </c>
      <c r="E32" s="2" t="inlineStr">
        <is>
          <t>Parent</t>
        </is>
      </c>
    </row>
    <row r="33">
      <c r="B33" s="10" t="inlineStr">
        <is>
          <t>2026-03-25</t>
        </is>
      </c>
      <c r="C33" s="10" t="inlineStr">
        <is>
          <t>Complete SCE identification for Harmattan</t>
        </is>
      </c>
      <c r="D33" s="10" t="inlineStr">
        <is>
          <t>In Progress</t>
        </is>
      </c>
      <c r="E33" s="10" t="inlineStr">
        <is>
          <t>SCE Identification - Harmattan &amp; EEEP</t>
        </is>
      </c>
    </row>
    <row r="34">
      <c r="B34" s="11" t="inlineStr">
        <is>
          <t>2026-03-25</t>
        </is>
      </c>
      <c r="C34" s="11" t="inlineStr">
        <is>
          <t>Investigate and resolve unmatched tags (~55% remaining)</t>
        </is>
      </c>
      <c r="D34" s="11" t="inlineStr">
        <is>
          <t>In Progress</t>
        </is>
      </c>
      <c r="E34" s="11" t="inlineStr">
        <is>
          <t>Maximo Tag Matching</t>
        </is>
      </c>
    </row>
    <row r="35">
      <c r="B35" s="10" t="inlineStr">
        <is>
          <t>2026-03-25</t>
        </is>
      </c>
      <c r="C35" s="10" t="inlineStr">
        <is>
          <t>Outline presentation structure and key messages</t>
        </is>
      </c>
      <c r="D35" s="10" t="inlineStr">
        <is>
          <t>In Progress</t>
        </is>
      </c>
      <c r="E35" s="10" t="inlineStr">
        <is>
          <t>BAHX Presentation</t>
        </is>
      </c>
    </row>
    <row r="36">
      <c r="B36" s="11" t="inlineStr">
        <is>
          <t>2026-03-28</t>
        </is>
      </c>
      <c r="C36" s="11" t="inlineStr">
        <is>
          <t>Draft report - recommendations and action plan</t>
        </is>
      </c>
      <c r="D36" s="11" t="inlineStr">
        <is>
          <t>In Progress</t>
        </is>
      </c>
      <c r="E36" s="11" t="inlineStr">
        <is>
          <t>BAHX Final Report</t>
        </is>
      </c>
    </row>
    <row r="37">
      <c r="B37" s="10" t="inlineStr">
        <is>
          <t>2026-03-28</t>
        </is>
      </c>
      <c r="C37" s="10" t="inlineStr">
        <is>
          <t>Prepare BAHX unit specs and questions for vendor</t>
        </is>
      </c>
      <c r="D37" s="10" t="inlineStr">
        <is>
          <t>In Progress</t>
        </is>
      </c>
      <c r="E37" s="10" t="inlineStr">
        <is>
          <t>BAHX Vendor Meeting - April 1</t>
        </is>
      </c>
    </row>
    <row r="38">
      <c r="B38" s="11" t="inlineStr">
        <is>
          <t>2026-03-31</t>
        </is>
      </c>
      <c r="C38" s="11" t="inlineStr">
        <is>
          <t>SCE Identification - Harmattan &amp; EEEP</t>
        </is>
      </c>
      <c r="D38" s="11" t="inlineStr">
        <is>
          <t>In Progress</t>
        </is>
      </c>
      <c r="E38" s="11" t="inlineStr">
        <is>
          <t>Safety Critical Element (SCE) Identification</t>
        </is>
      </c>
    </row>
    <row r="39">
      <c r="B39" s="10" t="inlineStr">
        <is>
          <t>2026-03-31</t>
        </is>
      </c>
      <c r="C39" s="10" t="inlineStr">
        <is>
          <t>Complete SCE identification for EEEP</t>
        </is>
      </c>
      <c r="D39" s="10" t="inlineStr">
        <is>
          <t>In Progress</t>
        </is>
      </c>
      <c r="E39" s="10" t="inlineStr">
        <is>
          <t>SCE Identification - Harmattan &amp; EEEP</t>
        </is>
      </c>
    </row>
    <row r="40">
      <c r="B40" s="11" t="inlineStr">
        <is>
          <t>2026-03-31</t>
        </is>
      </c>
      <c r="C40" s="11" t="inlineStr">
        <is>
          <t>Maximo Tag Matching</t>
        </is>
      </c>
      <c r="D40" s="11" t="inlineStr">
        <is>
          <t>In Progress</t>
        </is>
      </c>
      <c r="E40" s="11" t="inlineStr">
        <is>
          <t>Safety Critical Element (SCE) Identification</t>
        </is>
      </c>
    </row>
    <row r="41">
      <c r="B41" s="10" t="inlineStr">
        <is>
          <t>2026-03-31</t>
        </is>
      </c>
      <c r="C41" s="10" t="inlineStr">
        <is>
          <t>Produce final Maximo match report with gap summary</t>
        </is>
      </c>
      <c r="D41" s="10" t="inlineStr">
        <is>
          <t>Not Started</t>
        </is>
      </c>
      <c r="E41" s="10" t="inlineStr">
        <is>
          <t>Maximo Tag Matching</t>
        </is>
      </c>
    </row>
    <row r="42">
      <c r="B42" s="11" t="inlineStr">
        <is>
          <t>2026-04-01</t>
        </is>
      </c>
      <c r="C42" s="11" t="inlineStr">
        <is>
          <t>BAHX Vendor Meeting - April 1</t>
        </is>
      </c>
      <c r="D42" s="11" t="inlineStr">
        <is>
          <t>In Progress</t>
        </is>
      </c>
      <c r="E42" s="11" t="inlineStr">
        <is>
          <t>Brazed Aluminum Heat Exchanger (BAHX) Study</t>
        </is>
      </c>
    </row>
    <row r="43">
      <c r="B43" s="10" t="inlineStr">
        <is>
          <t>2026-04-01</t>
        </is>
      </c>
      <c r="C43" s="10" t="inlineStr">
        <is>
          <t>Attend vendor meeting and capture notes</t>
        </is>
      </c>
      <c r="D43" s="10" t="inlineStr">
        <is>
          <t>Not Started</t>
        </is>
      </c>
      <c r="E43" s="10" t="inlineStr">
        <is>
          <t>BAHX Vendor Meeting - April 1</t>
        </is>
      </c>
    </row>
    <row r="44">
      <c r="B44" s="11" t="inlineStr">
        <is>
          <t>2026-04-04</t>
        </is>
      </c>
      <c r="C44" s="11" t="inlineStr">
        <is>
          <t>Summarize vendor data into cost/lead-time table</t>
        </is>
      </c>
      <c r="D44" s="11" t="inlineStr">
        <is>
          <t>Not Started</t>
        </is>
      </c>
      <c r="E44" s="11" t="inlineStr">
        <is>
          <t>BAHX Vendor Meeting - April 1</t>
        </is>
      </c>
    </row>
    <row r="45">
      <c r="B45" s="10" t="inlineStr">
        <is>
          <t>2026-04-05</t>
        </is>
      </c>
      <c r="C45" s="10" t="inlineStr">
        <is>
          <t>Review SOPs for BAHX-related comments and restrictions</t>
        </is>
      </c>
      <c r="D45" s="10" t="inlineStr">
        <is>
          <t>Not Started</t>
        </is>
      </c>
      <c r="E45" s="10" t="inlineStr">
        <is>
          <t>BAHX SOP Review</t>
        </is>
      </c>
    </row>
    <row r="46">
      <c r="B46" s="11" t="inlineStr">
        <is>
          <t>2026-04-07</t>
        </is>
      </c>
      <c r="C46" s="11" t="inlineStr">
        <is>
          <t>Incorporate vendor cost and lead-time data (post Apr 1 meeting)</t>
        </is>
      </c>
      <c r="D46" s="11" t="inlineStr">
        <is>
          <t>Not Started</t>
        </is>
      </c>
      <c r="E46" s="11" t="inlineStr">
        <is>
          <t>BAHX Final Report</t>
        </is>
      </c>
    </row>
    <row r="47">
      <c r="B47" s="10" t="inlineStr">
        <is>
          <t>2026-04-07</t>
        </is>
      </c>
      <c r="C47" s="10" t="inlineStr">
        <is>
          <t>Write technical documentation - code architecture and logic</t>
        </is>
      </c>
      <c r="D47" s="10" t="inlineStr">
        <is>
          <t>Not Started</t>
        </is>
      </c>
      <c r="E47" s="10" t="inlineStr">
        <is>
          <t>Inspection Scope Tool - Handoff Documentation</t>
        </is>
      </c>
    </row>
  </sheetData>
  <mergeCells count="6">
    <mergeCell ref="B13:I13"/>
    <mergeCell ref="B21:I21"/>
    <mergeCell ref="B2:I2"/>
    <mergeCell ref="B31:I31"/>
    <mergeCell ref="B1:I1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6BBF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0" customWidth="1" min="4" max="4"/>
    <col width="18" customWidth="1" min="5" max="5"/>
    <col width="40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6" customWidth="1" min="12" max="12"/>
    <col width="40" customWidth="1" min="13" max="13"/>
  </cols>
  <sheetData>
    <row r="1">
      <c r="A1" s="2" t="inlineStr">
        <is>
          <t>Project 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Supervisor</t>
        </is>
      </c>
      <c r="E1" s="2" t="inlineStr">
        <is>
          <t>Site</t>
        </is>
      </c>
      <c r="F1" s="2" t="inlineStr">
        <is>
          <t>Description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Date Completed</t>
        </is>
      </c>
      <c r="M1" s="2" t="inlineStr">
        <is>
          <t>Notes</t>
        </is>
      </c>
    </row>
    <row r="2">
      <c r="A2" t="inlineStr">
        <is>
          <t>P-001</t>
        </is>
      </c>
      <c r="B2" t="inlineStr">
        <is>
          <t>Safety Critical Element (SCE) Identification</t>
        </is>
      </c>
      <c r="C2" t="inlineStr">
        <is>
          <t>Weekly</t>
        </is>
      </c>
      <c r="D2" t="inlineStr"/>
      <c r="E2" t="inlineStr"/>
      <c r="F2" t="inlineStr">
        <is>
          <t>Identify and catalog Safety Critical Elements across all AltaGas facilities by cross-referencing P&amp;IDs, SDKs, and Maximo asset databases.</t>
        </is>
      </c>
      <c r="G2" t="inlineStr">
        <is>
          <t>In Progress</t>
        </is>
      </c>
      <c r="H2" t="n">
        <v>0</v>
      </c>
      <c r="I2" s="3" t="n">
        <v>45689</v>
      </c>
      <c r="K2" s="3" t="n">
        <v>46112</v>
      </c>
      <c r="M2" t="inlineStr"/>
    </row>
    <row r="3">
      <c r="A3" t="inlineStr">
        <is>
          <t>P-002</t>
        </is>
      </c>
      <c r="B3" t="inlineStr">
        <is>
          <t>Brazed Aluminum Heat Exchanger (BAHX) Study</t>
        </is>
      </c>
      <c r="C3" t="inlineStr">
        <is>
          <t>Weekly</t>
        </is>
      </c>
      <c r="D3" t="inlineStr"/>
      <c r="E3" t="inlineStr"/>
      <c r="F3" t="inlineStr">
        <is>
          <t>Technical study evaluating the condition, risk profile, and replacement strategy for BAHX units across AltaGas facilities.</t>
        </is>
      </c>
      <c r="G3" t="inlineStr">
        <is>
          <t>In Progress</t>
        </is>
      </c>
      <c r="H3" t="n">
        <v>0</v>
      </c>
      <c r="I3" s="3" t="n">
        <v>45962</v>
      </c>
      <c r="K3" s="3" t="n">
        <v>46157</v>
      </c>
      <c r="M3" t="inlineStr"/>
    </row>
    <row r="4">
      <c r="A4" t="inlineStr">
        <is>
          <t>P-003</t>
        </is>
      </c>
      <c r="B4" t="inlineStr">
        <is>
          <t>Corrosion Coupon Dashboard</t>
        </is>
      </c>
      <c r="C4" t="inlineStr">
        <is>
          <t>Ongoing</t>
        </is>
      </c>
      <c r="D4" t="inlineStr"/>
      <c r="E4" t="inlineStr"/>
      <c r="F4" t="inlineStr">
        <is>
          <t>Power BI dashboard tracking corrosion coupon data across all AltaGas facilities.</t>
        </is>
      </c>
      <c r="G4" t="inlineStr">
        <is>
          <t>In Progress</t>
        </is>
      </c>
      <c r="H4" t="n">
        <v>0</v>
      </c>
      <c r="I4" s="3" t="n">
        <v>45901</v>
      </c>
      <c r="K4" s="3" t="n">
        <v>46265</v>
      </c>
      <c r="M4" t="inlineStr"/>
    </row>
    <row r="5">
      <c r="A5" t="inlineStr">
        <is>
          <t>P-004</t>
        </is>
      </c>
      <c r="B5" t="inlineStr">
        <is>
          <t>Inspection Scope Tool</t>
        </is>
      </c>
      <c r="C5" t="inlineStr">
        <is>
          <t>Ongoing</t>
        </is>
      </c>
      <c r="D5" t="inlineStr"/>
      <c r="E5" t="inlineStr"/>
      <c r="F5" t="inlineStr">
        <is>
          <t>Python tool that assists with the creation of inspection scopes. Tool is complete and deployed; handoff documentation required.</t>
        </is>
      </c>
      <c r="G5" t="inlineStr">
        <is>
          <t>In Progress</t>
        </is>
      </c>
      <c r="H5" t="n">
        <v>0</v>
      </c>
      <c r="I5" s="3" t="n">
        <v>45809</v>
      </c>
      <c r="K5" s="3" t="n">
        <v>46142</v>
      </c>
      <c r="M5" t="inlineStr"/>
    </row>
    <row r="6">
      <c r="A6" t="inlineStr">
        <is>
          <t>P-005</t>
        </is>
      </c>
      <c r="B6" t="inlineStr">
        <is>
          <t>PI Vision Screen Cleanup</t>
        </is>
      </c>
      <c r="C6" t="inlineStr">
        <is>
          <t>Ongoing</t>
        </is>
      </c>
      <c r="D6" t="inlineStr"/>
      <c r="E6" t="inlineStr"/>
      <c r="F6" t="inlineStr">
        <is>
          <t>Long-term, background cleanup effort to improve PI Vision usability and pave the way for enterprise-wide PI screen standardization.</t>
        </is>
      </c>
      <c r="G6" t="inlineStr">
        <is>
          <t>Ongoing</t>
        </is>
      </c>
      <c r="H6" t="n">
        <v>0</v>
      </c>
      <c r="M6" t="inlineStr"/>
    </row>
    <row r="7">
      <c r="A7" t="inlineStr">
        <is>
          <t>P-006</t>
        </is>
      </c>
      <c r="B7" t="inlineStr">
        <is>
          <t>AI &amp; Python Workflow Automation</t>
        </is>
      </c>
      <c r="C7" t="inlineStr">
        <is>
          <t>Ongoing</t>
        </is>
      </c>
      <c r="D7" t="inlineStr"/>
      <c r="E7" t="inlineStr"/>
      <c r="F7" t="inlineStr">
        <is>
          <t>Self-directed initiative exploring AI and Python tools for engineering workflow automation and operational optimization.</t>
        </is>
      </c>
      <c r="G7" t="inlineStr">
        <is>
          <t>Ongoing</t>
        </is>
      </c>
      <c r="H7" t="n">
        <v>0</v>
      </c>
      <c r="M7" t="inlineStr"/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6BBF"/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40" customWidth="1" min="12" max="12"/>
    <col width="16" customWidth="1" min="13" max="13"/>
  </cols>
  <sheetData>
    <row r="1">
      <c r="A1" s="2" t="inlineStr">
        <is>
          <t>Task ID</t>
        </is>
      </c>
      <c r="B1" s="2" t="inlineStr">
        <is>
          <t>Project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Supervisor</t>
        </is>
      </c>
      <c r="F1" s="2" t="inlineStr">
        <is>
          <t>Site</t>
        </is>
      </c>
      <c r="G1" s="2" t="inlineStr">
        <is>
          <t>Status</t>
        </is>
      </c>
      <c r="H1" s="2" t="inlineStr">
        <is>
          <t>Priority</t>
        </is>
      </c>
      <c r="I1" s="2" t="inlineStr">
        <is>
          <t>Start Date</t>
        </is>
      </c>
      <c r="J1" s="2" t="inlineStr">
        <is>
          <t>End Date</t>
        </is>
      </c>
      <c r="K1" s="2" t="inlineStr">
        <is>
          <t>Deadline</t>
        </is>
      </c>
      <c r="L1" s="2" t="inlineStr">
        <is>
          <t>Status Commentary</t>
        </is>
      </c>
      <c r="M1" s="2" t="inlineStr">
        <is>
          <t>Date Completed</t>
        </is>
      </c>
    </row>
    <row r="2">
      <c r="A2" t="inlineStr">
        <is>
          <t>T-001</t>
        </is>
      </c>
      <c r="B2" t="inlineStr">
        <is>
          <t>P-001</t>
        </is>
      </c>
      <c r="C2" t="inlineStr">
        <is>
          <t>SCE Identification - Completed Facilities</t>
        </is>
      </c>
      <c r="D2" t="inlineStr">
        <is>
          <t>Facilities where P&amp;IDs are well-documented in SDKs and SCE identification has been completed.</t>
        </is>
      </c>
      <c r="E2" t="inlineStr">
        <is>
          <t>Kurt MacKay</t>
        </is>
      </c>
      <c r="F2" t="inlineStr">
        <is>
          <t>Multiple</t>
        </is>
      </c>
      <c r="G2" t="inlineStr">
        <is>
          <t>Completed</t>
        </is>
      </c>
      <c r="H2" t="n">
        <v>1</v>
      </c>
      <c r="I2" s="3" t="n">
        <v>45689</v>
      </c>
      <c r="J2" s="3" t="n">
        <v>46081</v>
      </c>
      <c r="K2" s="3" t="n">
        <v>46081</v>
      </c>
      <c r="L2" t="inlineStr">
        <is>
          <t>Majority of facilities completed. P&amp;IDs were available in SDKs for these sites.</t>
        </is>
      </c>
      <c r="M2" s="3" t="n">
        <v>46081</v>
      </c>
    </row>
    <row r="3">
      <c r="A3" t="inlineStr">
        <is>
          <t>T-002</t>
        </is>
      </c>
      <c r="B3" t="inlineStr">
        <is>
          <t>P-001</t>
        </is>
      </c>
      <c r="C3" t="inlineStr">
        <is>
          <t>SCE Identification - Harmattan &amp; EEEP</t>
        </is>
      </c>
      <c r="D3" t="inlineStr">
        <is>
          <t>Harmattan and EEEP SDKs do not outline P&amp;IDs for each tag, requiring alternative approaches to identify SCEs.</t>
        </is>
      </c>
      <c r="E3" t="inlineStr">
        <is>
          <t>Kurt MacKay</t>
        </is>
      </c>
      <c r="F3" t="inlineStr">
        <is>
          <t>Harmattan / EEEP</t>
        </is>
      </c>
      <c r="G3" t="inlineStr">
        <is>
          <t>In Progress</t>
        </is>
      </c>
      <c r="H3" t="n">
        <v>1</v>
      </c>
      <c r="I3" s="3" t="n">
        <v>46037</v>
      </c>
      <c r="K3" s="3" t="n">
        <v>46112</v>
      </c>
      <c r="L3" t="inlineStr">
        <is>
          <t>SDKs for Harmattan and EEEP lack P&amp;ID references per tag. Attempting alternative tag-to-SCE mapping approaches.</t>
        </is>
      </c>
      <c r="N3" s="3" t="n">
        <v>46106</v>
      </c>
    </row>
    <row r="4">
      <c r="A4" t="inlineStr">
        <is>
          <t>T-003</t>
        </is>
      </c>
      <c r="B4" t="inlineStr">
        <is>
          <t>P-001</t>
        </is>
      </c>
      <c r="C4" t="inlineStr">
        <is>
          <t>Maximo Tag Matching</t>
        </is>
      </c>
      <c r="D4" t="inlineStr">
        <is>
          <t>Cross-reference identified SCE tags against the Maximo asset management database to validate equipment records.</t>
        </is>
      </c>
      <c r="E4" t="inlineStr">
        <is>
          <t>Kurt MacKay</t>
        </is>
      </c>
      <c r="F4" t="inlineStr">
        <is>
          <t>All</t>
        </is>
      </c>
      <c r="G4" t="inlineStr">
        <is>
          <t>In Progress</t>
        </is>
      </c>
      <c r="H4" t="n">
        <v>2</v>
      </c>
      <c r="I4" s="3" t="n">
        <v>45931</v>
      </c>
      <c r="K4" s="3" t="n">
        <v>46112</v>
      </c>
      <c r="L4" t="inlineStr">
        <is>
          <t>Currently matching approximately 45% of tags to Maximo. Discrepancies in naming conventions and missing assets are the main blockers.</t>
        </is>
      </c>
      <c r="N4" s="3" t="n">
        <v>46106</v>
      </c>
    </row>
    <row r="5">
      <c r="A5" t="inlineStr">
        <is>
          <t>T-004</t>
        </is>
      </c>
      <c r="B5" t="inlineStr">
        <is>
          <t>P-001</t>
        </is>
      </c>
      <c r="C5" t="inlineStr">
        <is>
          <t>SCE - On-Hold Facilities (PSGP-1 Dimsdale &amp; Townsend)</t>
        </is>
      </c>
      <c r="D5" t="inlineStr">
        <is>
          <t>SCE work paused for PSGP-1 Dimsdale and Townsend pending completion of their SDK validation processes.</t>
        </is>
      </c>
      <c r="E5" t="inlineStr">
        <is>
          <t>Kurt MacKay</t>
        </is>
      </c>
      <c r="F5" t="inlineStr">
        <is>
          <t>PSGP-1 Dimsdale / Townsend</t>
        </is>
      </c>
      <c r="G5" t="inlineStr">
        <is>
          <t>On Hold</t>
        </is>
      </c>
      <c r="H5" t="n">
        <v>4</v>
      </c>
      <c r="I5" s="3" t="n">
        <v>45809</v>
      </c>
      <c r="K5" s="3" t="n">
        <v>46203</v>
      </c>
      <c r="L5" t="inlineStr">
        <is>
          <t>Both facilities are currently undergoing SDK validation. SCE identification will resume once validated SDKs are available.</t>
        </is>
      </c>
    </row>
    <row r="6">
      <c r="A6" t="inlineStr">
        <is>
          <t>T-005</t>
        </is>
      </c>
      <c r="B6" t="inlineStr">
        <is>
          <t>P-001</t>
        </is>
      </c>
      <c r="C6" t="inlineStr">
        <is>
          <t>SCE Site Review Meetings</t>
        </is>
      </c>
      <c r="D6" t="inlineStr">
        <is>
          <t>Present SCE findings to each facility site team and discuss action items.</t>
        </is>
      </c>
      <c r="E6" t="inlineStr">
        <is>
          <t>Kurt MacKay</t>
        </is>
      </c>
      <c r="F6" t="inlineStr">
        <is>
          <t>All</t>
        </is>
      </c>
      <c r="G6" t="inlineStr">
        <is>
          <t>Not Started</t>
        </is>
      </c>
      <c r="H6" t="n">
        <v>2</v>
      </c>
      <c r="I6" s="3" t="n">
        <v>46113</v>
      </c>
      <c r="K6" s="3" t="n">
        <v>46203</v>
      </c>
      <c r="L6" t="inlineStr">
        <is>
          <t>Target: complete site discussions by end of June.</t>
        </is>
      </c>
      <c r="N6" s="3" t="n">
        <v>46109</v>
      </c>
    </row>
    <row r="7">
      <c r="A7" t="inlineStr">
        <is>
          <t>T-006</t>
        </is>
      </c>
      <c r="B7" t="inlineStr">
        <is>
          <t>P-002</t>
        </is>
      </c>
      <c r="C7" t="inlineStr">
        <is>
          <t>BAHX Technical Analysis</t>
        </is>
      </c>
      <c r="D7" t="inlineStr">
        <is>
          <t>Perform the full engineering analysis of BAHX units - operating conditions, failure modes, inspection history, and risk ranking.</t>
        </is>
      </c>
      <c r="E7" t="inlineStr">
        <is>
          <t>Kurt MacKay</t>
        </is>
      </c>
      <c r="F7" t="inlineStr">
        <is>
          <t>Multiple</t>
        </is>
      </c>
      <c r="G7" t="inlineStr">
        <is>
          <t>Completed</t>
        </is>
      </c>
      <c r="H7" t="n">
        <v>1</v>
      </c>
      <c r="I7" s="3" t="n">
        <v>45962</v>
      </c>
      <c r="J7" s="3" t="n">
        <v>46096</v>
      </c>
      <c r="K7" s="3" t="n">
        <v>46096</v>
      </c>
      <c r="L7" t="inlineStr">
        <is>
          <t>Analysis complete. All BAHX units evaluated for operating envelope, failure risk, and inspection history.</t>
        </is>
      </c>
      <c r="M7" s="3" t="n">
        <v>46096</v>
      </c>
    </row>
    <row r="8">
      <c r="A8" t="inlineStr">
        <is>
          <t>T-007</t>
        </is>
      </c>
      <c r="B8" t="inlineStr">
        <is>
          <t>P-002</t>
        </is>
      </c>
      <c r="C8" t="inlineStr">
        <is>
          <t>BAHX Final Report</t>
        </is>
      </c>
      <c r="D8" t="inlineStr">
        <is>
          <t>Compile the BAHX study into a formal engineering report documenting methodology, findings, and recommendations.</t>
        </is>
      </c>
      <c r="E8" t="inlineStr">
        <is>
          <t>Kurt MacKay</t>
        </is>
      </c>
      <c r="F8" t="inlineStr">
        <is>
          <t>N/A</t>
        </is>
      </c>
      <c r="G8" t="inlineStr">
        <is>
          <t>In Progress</t>
        </is>
      </c>
      <c r="H8" t="n">
        <v>1</v>
      </c>
      <c r="I8" s="3" t="n">
        <v>46082</v>
      </c>
      <c r="K8" s="3" t="n">
        <v>46127</v>
      </c>
      <c r="L8" t="inlineStr">
        <is>
          <t>Report approximately 80% complete. Compiling final sections.</t>
        </is>
      </c>
      <c r="N8" s="3" t="n">
        <v>46107</v>
      </c>
    </row>
    <row r="9">
      <c r="A9" t="inlineStr">
        <is>
          <t>T-008</t>
        </is>
      </c>
      <c r="B9" t="inlineStr">
        <is>
          <t>P-002</t>
        </is>
      </c>
      <c r="C9" t="inlineStr">
        <is>
          <t>BAHX Presentation</t>
        </is>
      </c>
      <c r="D9" t="inlineStr">
        <is>
          <t>Create a summary presentation to accompany the BAHX report for management and site teams.</t>
        </is>
      </c>
      <c r="E9" t="inlineStr">
        <is>
          <t>Kurt MacKay</t>
        </is>
      </c>
      <c r="F9" t="inlineStr">
        <is>
          <t>N/A</t>
        </is>
      </c>
      <c r="G9" t="inlineStr">
        <is>
          <t>In Progress</t>
        </is>
      </c>
      <c r="H9" t="n">
        <v>2</v>
      </c>
      <c r="I9" s="3" t="n">
        <v>46101</v>
      </c>
      <c r="K9" s="3" t="n">
        <v>46132</v>
      </c>
      <c r="L9" t="inlineStr">
        <is>
          <t>Presentation started. Working in parallel with report finalization.</t>
        </is>
      </c>
      <c r="N9" s="3" t="n">
        <v>46108</v>
      </c>
    </row>
    <row r="10">
      <c r="A10" t="inlineStr">
        <is>
          <t>T-009</t>
        </is>
      </c>
      <c r="B10" t="inlineStr">
        <is>
          <t>P-002</t>
        </is>
      </c>
      <c r="C10" t="inlineStr">
        <is>
          <t>BAHX SOP Review</t>
        </is>
      </c>
      <c r="D10" t="inlineStr">
        <is>
          <t>Review facility SOPs for BAHX units to identify any existing operational notes, restrictions, or cautions.</t>
        </is>
      </c>
      <c r="E10" t="inlineStr">
        <is>
          <t>Kurt MacKay</t>
        </is>
      </c>
      <c r="F10" t="inlineStr">
        <is>
          <t>Multiple</t>
        </is>
      </c>
      <c r="G10" t="inlineStr">
        <is>
          <t>In Progress</t>
        </is>
      </c>
      <c r="H10" t="n">
        <v>3</v>
      </c>
      <c r="I10" s="3" t="n">
        <v>46096</v>
      </c>
      <c r="K10" s="3" t="n">
        <v>46122</v>
      </c>
      <c r="L10" t="inlineStr">
        <is>
          <t>Waiting on SOPs for BAHX units to review for any existing comments or operational notes.</t>
        </is>
      </c>
      <c r="N10" s="3" t="n">
        <v>46106</v>
      </c>
    </row>
    <row r="11">
      <c r="A11" t="inlineStr">
        <is>
          <t>T-010</t>
        </is>
      </c>
      <c r="B11" t="inlineStr">
        <is>
          <t>P-002</t>
        </is>
      </c>
      <c r="C11" t="inlineStr">
        <is>
          <t>BAHX Vendor Meeting - April 1</t>
        </is>
      </c>
      <c r="D11" t="inlineStr">
        <is>
          <t>Meet with BAHX vendor to learn about replacement unit cost, lead times, and available configurations.</t>
        </is>
      </c>
      <c r="E11" t="inlineStr">
        <is>
          <t>Kurt MacKay</t>
        </is>
      </c>
      <c r="F11" t="inlineStr">
        <is>
          <t>N/A</t>
        </is>
      </c>
      <c r="G11" t="inlineStr">
        <is>
          <t>In Progress</t>
        </is>
      </c>
      <c r="H11" t="n">
        <v>2</v>
      </c>
      <c r="I11" s="3" t="n">
        <v>46101</v>
      </c>
      <c r="K11" s="3" t="n">
        <v>46113</v>
      </c>
      <c r="L11" t="inlineStr">
        <is>
          <t>Vendor meeting scheduled for April 1st.</t>
        </is>
      </c>
      <c r="N11" s="3" t="n">
        <v>46107</v>
      </c>
    </row>
    <row r="12">
      <c r="A12" t="inlineStr">
        <is>
          <t>T-011</t>
        </is>
      </c>
      <c r="B12" t="inlineStr">
        <is>
          <t>P-003</t>
        </is>
      </c>
      <c r="C12" t="inlineStr">
        <is>
          <t>Dashboard Development &amp; Deployment</t>
        </is>
      </c>
      <c r="D12" t="inlineStr">
        <is>
          <t>Build and deploy the Power BI corrosion coupon dashboard with all facility data.</t>
        </is>
      </c>
      <c r="E12" t="inlineStr">
        <is>
          <t>Kurt MacKay</t>
        </is>
      </c>
      <c r="F12" t="inlineStr">
        <is>
          <t>All</t>
        </is>
      </c>
      <c r="G12" t="inlineStr">
        <is>
          <t>Completed</t>
        </is>
      </c>
      <c r="H12" t="n">
        <v>2</v>
      </c>
      <c r="I12" s="3" t="n">
        <v>45901</v>
      </c>
      <c r="J12" s="3" t="n">
        <v>46096</v>
      </c>
      <c r="K12" s="3" t="n">
        <v>46096</v>
      </c>
      <c r="L12" t="inlineStr">
        <is>
          <t>Dashboard built, deployed, and in use. Historical data loaded.</t>
        </is>
      </c>
      <c r="M12" s="3" t="n">
        <v>46096</v>
      </c>
    </row>
    <row r="13">
      <c r="A13" t="inlineStr">
        <is>
          <t>T-012</t>
        </is>
      </c>
      <c r="B13" t="inlineStr">
        <is>
          <t>P-003</t>
        </is>
      </c>
      <c r="C13" t="inlineStr">
        <is>
          <t>Auto-Triggered Email Data Pipeline</t>
        </is>
      </c>
      <c r="D13" t="inlineStr">
        <is>
          <t>Create an automated pipeline that ingests new corrosion coupon data from emailed reports and loads it into the dashboard.</t>
        </is>
      </c>
      <c r="E13" t="inlineStr">
        <is>
          <t>Kurt MacKay</t>
        </is>
      </c>
      <c r="F13" t="inlineStr">
        <is>
          <t>N/A</t>
        </is>
      </c>
      <c r="G13" t="inlineStr">
        <is>
          <t>Not Started</t>
        </is>
      </c>
      <c r="H13" t="n">
        <v>2</v>
      </c>
      <c r="I13" s="3" t="n">
        <v>46113</v>
      </c>
      <c r="K13" s="3" t="n">
        <v>46234</v>
      </c>
      <c r="L13" t="inlineStr"/>
      <c r="N13" s="3" t="n">
        <v>46110</v>
      </c>
    </row>
    <row r="14">
      <c r="A14" t="inlineStr">
        <is>
          <t>T-013</t>
        </is>
      </c>
      <c r="B14" t="inlineStr">
        <is>
          <t>P-003</t>
        </is>
      </c>
      <c r="C14" t="inlineStr">
        <is>
          <t>Corrosion Dashboard Handoff Documentation</t>
        </is>
      </c>
      <c r="D14" t="inlineStr">
        <is>
          <t>Create comprehensive documentation for the dashboard and pipeline to enable handoff to the next owner.</t>
        </is>
      </c>
      <c r="E14" t="inlineStr">
        <is>
          <t>Kurt MacKay</t>
        </is>
      </c>
      <c r="F14" t="inlineStr">
        <is>
          <t>N/A</t>
        </is>
      </c>
      <c r="G14" t="inlineStr">
        <is>
          <t>Not Started</t>
        </is>
      </c>
      <c r="H14" t="n">
        <v>3</v>
      </c>
      <c r="I14" s="3" t="n">
        <v>46218</v>
      </c>
      <c r="K14" s="3" t="n">
        <v>46265</v>
      </c>
      <c r="L14" t="inlineStr"/>
      <c r="N14" s="3" t="n">
        <v>46108</v>
      </c>
    </row>
    <row r="15">
      <c r="A15" t="inlineStr">
        <is>
          <t>T-014</t>
        </is>
      </c>
      <c r="B15" t="inlineStr">
        <is>
          <t>P-004</t>
        </is>
      </c>
      <c r="C15" t="inlineStr">
        <is>
          <t>Inspection Scope Tool - Development</t>
        </is>
      </c>
      <c r="D15" t="inlineStr">
        <is>
          <t>Build and deploy the tool that automates the creation of inspection scopes.</t>
        </is>
      </c>
      <c r="E15" t="inlineStr">
        <is>
          <t>Kurt MacKay</t>
        </is>
      </c>
      <c r="F15" t="inlineStr">
        <is>
          <t>N/A</t>
        </is>
      </c>
      <c r="G15" t="inlineStr">
        <is>
          <t>Completed</t>
        </is>
      </c>
      <c r="H15" t="n">
        <v>2</v>
      </c>
      <c r="I15" s="3" t="n">
        <v>45809</v>
      </c>
      <c r="J15" s="3" t="n">
        <v>46081</v>
      </c>
      <c r="K15" s="3" t="n">
        <v>46081</v>
      </c>
      <c r="L15" t="inlineStr">
        <is>
          <t>Tool is complete and currently in active use.</t>
        </is>
      </c>
      <c r="M15" s="3" t="n">
        <v>46081</v>
      </c>
    </row>
    <row r="16">
      <c r="A16" t="inlineStr">
        <is>
          <t>T-015</t>
        </is>
      </c>
      <c r="B16" t="inlineStr">
        <is>
          <t>P-004</t>
        </is>
      </c>
      <c r="C16" t="inlineStr">
        <is>
          <t>Inspection Scope Tool - Handoff Documentation</t>
        </is>
      </c>
      <c r="D16" t="inlineStr">
        <is>
          <t>Create documentation so the tool can be maintained and used after handoff.</t>
        </is>
      </c>
      <c r="E16" t="inlineStr">
        <is>
          <t>Kurt MacKay</t>
        </is>
      </c>
      <c r="F16" t="inlineStr">
        <is>
          <t>N/A</t>
        </is>
      </c>
      <c r="G16" t="inlineStr">
        <is>
          <t>Not Started</t>
        </is>
      </c>
      <c r="H16" t="n">
        <v>3</v>
      </c>
      <c r="I16" s="3" t="n">
        <v>46106</v>
      </c>
      <c r="K16" s="3" t="n">
        <v>46142</v>
      </c>
      <c r="L16" t="inlineStr"/>
      <c r="N16" s="3" t="n">
        <v>46107</v>
      </c>
    </row>
    <row r="17">
      <c r="A17" t="inlineStr">
        <is>
          <t>T-016</t>
        </is>
      </c>
      <c r="B17" t="inlineStr">
        <is>
          <t>P-005</t>
        </is>
      </c>
      <c r="C17" t="inlineStr">
        <is>
          <t>PI Vision Screen Cleanup - Units, Tags, and Navigation</t>
        </is>
      </c>
      <c r="D17" t="inlineStr">
        <is>
          <t>Review and correct units, tag configuration, and navigation links on all 722 PI Vision screens. Low priority; worked on during downtime.</t>
        </is>
      </c>
      <c r="E17" t="inlineStr">
        <is>
          <t>Dustin MacDonald</t>
        </is>
      </c>
      <c r="F17" t="inlineStr">
        <is>
          <t>All</t>
        </is>
      </c>
      <c r="G17" t="inlineStr">
        <is>
          <t>Ongoing</t>
        </is>
      </c>
      <c r="H17" t="n">
        <v>5</v>
      </c>
      <c r="L17" t="inlineStr">
        <is>
          <t>Very low priority. Worked on only during downtime. 722 screens total.</t>
        </is>
      </c>
      <c r="N17" s="3" t="n">
        <v>46107</v>
      </c>
    </row>
    <row r="18">
      <c r="A18" t="inlineStr">
        <is>
          <t>T-017</t>
        </is>
      </c>
      <c r="B18" t="inlineStr">
        <is>
          <t>P-006</t>
        </is>
      </c>
      <c r="C18" t="inlineStr">
        <is>
          <t>AI &amp; Python Applications - Exploration &amp; Prototyping</t>
        </is>
      </c>
      <c r="D18" t="inlineStr">
        <is>
          <t>Evaluate AI and Python tools for SOP automation, PI data analysis, and general workflow improvements.</t>
        </is>
      </c>
      <c r="E18" t="inlineStr">
        <is>
          <t>Self-Directed</t>
        </is>
      </c>
      <c r="F18" t="inlineStr">
        <is>
          <t>N/A</t>
        </is>
      </c>
      <c r="G18" t="inlineStr">
        <is>
          <t>Ongoing</t>
        </is>
      </c>
      <c r="H18" t="n">
        <v>5</v>
      </c>
      <c r="L18" t="inlineStr">
        <is>
          <t>Low priority, self-directed. Worked on during downtime.</t>
        </is>
      </c>
      <c r="N18" s="3" t="n">
        <v>46106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BBF"/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2" t="inlineStr">
        <is>
          <t>Deliverable ID</t>
        </is>
      </c>
      <c r="B1" s="2" t="inlineStr">
        <is>
          <t>Task 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% Complete</t>
        </is>
      </c>
    </row>
    <row r="2">
      <c r="A2" t="inlineStr">
        <is>
          <t>D-001</t>
        </is>
      </c>
      <c r="B2" t="inlineStr">
        <is>
          <t>T-001</t>
        </is>
      </c>
      <c r="C2" t="inlineStr">
        <is>
          <t>Collect SDKs and P&amp;IDs for all facilities</t>
        </is>
      </c>
      <c r="D2" t="inlineStr">
        <is>
          <t>Gather Safety Data Knowledge packages and P&amp;ID drawings for every facility in scope.</t>
        </is>
      </c>
      <c r="E2" t="inlineStr">
        <is>
          <t>Completed</t>
        </is>
      </c>
      <c r="F2" s="3" t="n">
        <v>45689</v>
      </c>
      <c r="G2" s="3" t="n">
        <v>45731</v>
      </c>
      <c r="H2" s="3" t="n">
        <v>45731</v>
      </c>
      <c r="I2" t="n">
        <v>100</v>
      </c>
    </row>
    <row r="3">
      <c r="A3" t="inlineStr">
        <is>
          <t>D-002</t>
        </is>
      </c>
      <c r="B3" t="inlineStr">
        <is>
          <t>T-001</t>
        </is>
      </c>
      <c r="C3" t="inlineStr">
        <is>
          <t>Define SCE identification methodology and criteria</t>
        </is>
      </c>
      <c r="D3" t="inlineStr">
        <is>
          <t>Establish the criteria for classifying an element as safety-critical based on industry standards and AltaGas policies.</t>
        </is>
      </c>
      <c r="E3" t="inlineStr">
        <is>
          <t>Completed</t>
        </is>
      </c>
      <c r="F3" s="3" t="n">
        <v>45703</v>
      </c>
      <c r="G3" s="3" t="n">
        <v>45746</v>
      </c>
      <c r="H3" s="3" t="n">
        <v>45746</v>
      </c>
      <c r="I3" t="n">
        <v>100</v>
      </c>
    </row>
    <row r="4">
      <c r="A4" t="inlineStr">
        <is>
          <t>D-003</t>
        </is>
      </c>
      <c r="B4" t="inlineStr">
        <is>
          <t>T-001</t>
        </is>
      </c>
      <c r="C4" t="inlineStr">
        <is>
          <t>Complete SCE identification for well-documented facilities</t>
        </is>
      </c>
      <c r="D4" t="inlineStr">
        <is>
          <t>Walk through P&amp;IDs, identify all SCEs, and log each element per facility.</t>
        </is>
      </c>
      <c r="E4" t="inlineStr">
        <is>
          <t>Completed</t>
        </is>
      </c>
      <c r="F4" s="3" t="n">
        <v>45748</v>
      </c>
      <c r="G4" s="3" t="n">
        <v>46022</v>
      </c>
      <c r="H4" s="3" t="n">
        <v>46022</v>
      </c>
      <c r="I4" t="n">
        <v>100</v>
      </c>
    </row>
    <row r="5">
      <c r="A5" t="inlineStr">
        <is>
          <t>D-004</t>
        </is>
      </c>
      <c r="B5" t="inlineStr">
        <is>
          <t>T-001</t>
        </is>
      </c>
      <c r="C5" t="inlineStr">
        <is>
          <t>Build SCE master register for completed facilities</t>
        </is>
      </c>
      <c r="D5" t="inlineStr">
        <is>
          <t>Compile all identified SCEs into a structured register with tag numbers, descriptions, and facility assignments.</t>
        </is>
      </c>
      <c r="E5" t="inlineStr">
        <is>
          <t>Completed</t>
        </is>
      </c>
      <c r="F5" s="3" t="n">
        <v>45931</v>
      </c>
      <c r="G5" s="3" t="n">
        <v>46053</v>
      </c>
      <c r="H5" s="3" t="n">
        <v>46053</v>
      </c>
      <c r="I5" t="n">
        <v>100</v>
      </c>
    </row>
    <row r="6">
      <c r="A6" t="inlineStr">
        <is>
          <t>D-005</t>
        </is>
      </c>
      <c r="B6" t="inlineStr">
        <is>
          <t>T-002</t>
        </is>
      </c>
      <c r="C6" t="inlineStr">
        <is>
          <t>Assess Harmattan SDK gaps - identify missing P&amp;ID references</t>
        </is>
      </c>
      <c r="D6" t="inlineStr">
        <is>
          <t>Catalog which tags in the Harmattan SDK lack P&amp;ID cross-references and determine scope of the gap.</t>
        </is>
      </c>
      <c r="E6" t="inlineStr">
        <is>
          <t>Completed</t>
        </is>
      </c>
      <c r="F6" s="3" t="n">
        <v>46037</v>
      </c>
      <c r="G6" s="3" t="n">
        <v>46068</v>
      </c>
      <c r="H6" s="3" t="n">
        <v>46068</v>
      </c>
      <c r="I6" t="n">
        <v>100</v>
      </c>
    </row>
    <row r="7">
      <c r="A7" t="inlineStr">
        <is>
          <t>D-006</t>
        </is>
      </c>
      <c r="B7" t="inlineStr">
        <is>
          <t>T-002</t>
        </is>
      </c>
      <c r="C7" t="inlineStr">
        <is>
          <t>Assess EEEP SDK gaps - identify missing P&amp;ID references</t>
        </is>
      </c>
      <c r="D7" t="inlineStr">
        <is>
          <t>Catalog which tags in the EEEP SDK lack P&amp;ID cross-references and determine scope of the gap.</t>
        </is>
      </c>
      <c r="E7" t="inlineStr">
        <is>
          <t>Completed</t>
        </is>
      </c>
      <c r="F7" s="3" t="n">
        <v>46054</v>
      </c>
      <c r="G7" s="3" t="n">
        <v>46081</v>
      </c>
      <c r="H7" s="3" t="n">
        <v>46081</v>
      </c>
      <c r="I7" t="n">
        <v>100</v>
      </c>
    </row>
    <row r="8">
      <c r="A8" t="inlineStr">
        <is>
          <t>D-007</t>
        </is>
      </c>
      <c r="B8" t="inlineStr">
        <is>
          <t>T-002</t>
        </is>
      </c>
      <c r="C8" t="inlineStr">
        <is>
          <t>Develop alternative mapping approach for tag-to-SCE identification</t>
        </is>
      </c>
      <c r="D8" t="inlineStr">
        <is>
          <t>Create a methodology to identify SCEs at sites where SDKs do not map tags to P&amp;IDs directly.</t>
        </is>
      </c>
      <c r="E8" t="inlineStr">
        <is>
          <t>In Progress</t>
        </is>
      </c>
      <c r="F8" s="3" t="n">
        <v>46068</v>
      </c>
      <c r="H8" s="3" t="n">
        <v>46091</v>
      </c>
      <c r="I8" t="n">
        <v>60</v>
      </c>
    </row>
    <row r="9">
      <c r="A9" t="inlineStr">
        <is>
          <t>D-008</t>
        </is>
      </c>
      <c r="B9" t="inlineStr">
        <is>
          <t>T-002</t>
        </is>
      </c>
      <c r="C9" t="inlineStr">
        <is>
          <t>Complete SCE identification for Harmattan</t>
        </is>
      </c>
      <c r="D9" t="inlineStr">
        <is>
          <t>Apply alternative mapping and complete the SCE register for Harmattan.</t>
        </is>
      </c>
      <c r="E9" t="inlineStr">
        <is>
          <t>In Progress</t>
        </is>
      </c>
      <c r="F9" s="3" t="n">
        <v>46091</v>
      </c>
      <c r="H9" s="3" t="n">
        <v>46106</v>
      </c>
      <c r="I9" t="n">
        <v>30</v>
      </c>
    </row>
    <row r="10">
      <c r="A10" t="inlineStr">
        <is>
          <t>D-009</t>
        </is>
      </c>
      <c r="B10" t="inlineStr">
        <is>
          <t>T-002</t>
        </is>
      </c>
      <c r="C10" t="inlineStr">
        <is>
          <t>Complete SCE identification for EEEP</t>
        </is>
      </c>
      <c r="D10" t="inlineStr">
        <is>
          <t>Apply alternative mapping and complete the SCE register for EEEP.</t>
        </is>
      </c>
      <c r="E10" t="inlineStr">
        <is>
          <t>In Progress</t>
        </is>
      </c>
      <c r="F10" s="3" t="n">
        <v>46096</v>
      </c>
      <c r="H10" s="3" t="n">
        <v>46112</v>
      </c>
      <c r="I10" t="n">
        <v>20</v>
      </c>
    </row>
    <row r="11">
      <c r="A11" t="inlineStr">
        <is>
          <t>D-010</t>
        </is>
      </c>
      <c r="B11" t="inlineStr">
        <is>
          <t>T-003</t>
        </is>
      </c>
      <c r="C11" t="inlineStr">
        <is>
          <t>Export Maximo asset database for all facilities</t>
        </is>
      </c>
      <c r="D11" t="inlineStr">
        <is>
          <t>Pull full asset lists from Maximo for every facility in scope.</t>
        </is>
      </c>
      <c r="E11" t="inlineStr">
        <is>
          <t>Completed</t>
        </is>
      </c>
      <c r="F11" s="3" t="n">
        <v>45931</v>
      </c>
      <c r="G11" s="3" t="n">
        <v>45945</v>
      </c>
      <c r="H11" s="3" t="n">
        <v>45945</v>
      </c>
      <c r="I11" t="n">
        <v>100</v>
      </c>
    </row>
    <row r="12">
      <c r="A12" t="inlineStr">
        <is>
          <t>D-011</t>
        </is>
      </c>
      <c r="B12" t="inlineStr">
        <is>
          <t>T-003</t>
        </is>
      </c>
      <c r="C12" t="inlineStr">
        <is>
          <t>Build tag matching logic and automated comparison</t>
        </is>
      </c>
      <c r="D12" t="inlineStr">
        <is>
          <t>Create matching script/process to compare SCE tag numbers against Maximo records.</t>
        </is>
      </c>
      <c r="E12" t="inlineStr">
        <is>
          <t>Completed</t>
        </is>
      </c>
      <c r="F12" s="3" t="n">
        <v>45945</v>
      </c>
      <c r="G12" s="3" t="n">
        <v>45976</v>
      </c>
      <c r="H12" s="3" t="n">
        <v>45976</v>
      </c>
      <c r="I12" t="n">
        <v>100</v>
      </c>
    </row>
    <row r="13">
      <c r="A13" t="inlineStr">
        <is>
          <t>D-012</t>
        </is>
      </c>
      <c r="B13" t="inlineStr">
        <is>
          <t>T-003</t>
        </is>
      </c>
      <c r="C13" t="inlineStr">
        <is>
          <t>Run initial match - resolve easy hits (~45% matched)</t>
        </is>
      </c>
      <c r="D13" t="inlineStr">
        <is>
          <t>Execute first matching pass; resolve tags with direct exact matches.</t>
        </is>
      </c>
      <c r="E13" t="inlineStr">
        <is>
          <t>Completed</t>
        </is>
      </c>
      <c r="F13" s="3" t="n">
        <v>45976</v>
      </c>
      <c r="G13" s="3" t="n">
        <v>46081</v>
      </c>
      <c r="H13" s="3" t="n">
        <v>46081</v>
      </c>
      <c r="I13" t="n">
        <v>100</v>
      </c>
    </row>
    <row r="14">
      <c r="A14" t="inlineStr">
        <is>
          <t>D-013</t>
        </is>
      </c>
      <c r="B14" t="inlineStr">
        <is>
          <t>T-003</t>
        </is>
      </c>
      <c r="C14" t="inlineStr">
        <is>
          <t>Investigate and resolve unmatched tags (~55% remaining)</t>
        </is>
      </c>
      <c r="D14" t="inlineStr">
        <is>
          <t>Manually review remaining unmatched tags - naming discrepancies, missing Maximo entries, decommissioned equipment.</t>
        </is>
      </c>
      <c r="E14" t="inlineStr">
        <is>
          <t>In Progress</t>
        </is>
      </c>
      <c r="F14" s="3" t="n">
        <v>46082</v>
      </c>
      <c r="H14" s="3" t="n">
        <v>46106</v>
      </c>
      <c r="I14" t="n">
        <v>20</v>
      </c>
    </row>
    <row r="15">
      <c r="A15" t="inlineStr">
        <is>
          <t>D-014</t>
        </is>
      </c>
      <c r="B15" t="inlineStr">
        <is>
          <t>T-003</t>
        </is>
      </c>
      <c r="C15" t="inlineStr">
        <is>
          <t>Produce final Maximo match report with gap summary</t>
        </is>
      </c>
      <c r="D15" t="inlineStr">
        <is>
          <t>Document match rate, root causes of mismatches, and recommended Maximo updates.</t>
        </is>
      </c>
      <c r="E15" t="inlineStr">
        <is>
          <t>Not Started</t>
        </is>
      </c>
      <c r="F15" s="3" t="n">
        <v>46101</v>
      </c>
      <c r="H15" s="3" t="n">
        <v>46112</v>
      </c>
      <c r="I15" t="n">
        <v>0</v>
      </c>
    </row>
    <row r="16">
      <c r="A16" t="inlineStr">
        <is>
          <t>D-015</t>
        </is>
      </c>
      <c r="B16" t="inlineStr">
        <is>
          <t>T-004</t>
        </is>
      </c>
      <c r="C16" t="inlineStr">
        <is>
          <t>Monitor PSGP-1 Dimsdale SDK validation progress</t>
        </is>
      </c>
      <c r="D16" t="inlineStr">
        <is>
          <t>Track SDK validation status; confirm when validated SDK is available for SCE work.</t>
        </is>
      </c>
      <c r="E16" t="inlineStr">
        <is>
          <t>On Hold</t>
        </is>
      </c>
      <c r="F16" s="3" t="n">
        <v>46082</v>
      </c>
      <c r="H16" s="3" t="n">
        <v>46157</v>
      </c>
      <c r="I16" t="n">
        <v>0</v>
      </c>
    </row>
    <row r="17">
      <c r="A17" t="inlineStr">
        <is>
          <t>D-016</t>
        </is>
      </c>
      <c r="B17" t="inlineStr">
        <is>
          <t>T-004</t>
        </is>
      </c>
      <c r="C17" t="inlineStr">
        <is>
          <t>Monitor Townsend SDK validation progress</t>
        </is>
      </c>
      <c r="D17" t="inlineStr">
        <is>
          <t>Track SDK validation status for Townsend; confirm when validated SDK is ready.</t>
        </is>
      </c>
      <c r="E17" t="inlineStr">
        <is>
          <t>On Hold</t>
        </is>
      </c>
      <c r="F17" s="3" t="n">
        <v>46082</v>
      </c>
      <c r="H17" s="3" t="n">
        <v>46157</v>
      </c>
      <c r="I17" t="n">
        <v>0</v>
      </c>
    </row>
    <row r="18">
      <c r="A18" t="inlineStr">
        <is>
          <t>D-017</t>
        </is>
      </c>
      <c r="B18" t="inlineStr">
        <is>
          <t>T-004</t>
        </is>
      </c>
      <c r="C18" t="inlineStr">
        <is>
          <t>Complete SCE identification for PSGP-1 Dimsdale</t>
        </is>
      </c>
      <c r="D18" t="inlineStr">
        <is>
          <t>Once SDK is validated, perform full SCE identification using the confirmed P&amp;IDs.</t>
        </is>
      </c>
      <c r="E18" t="inlineStr">
        <is>
          <t>Not Started</t>
        </is>
      </c>
      <c r="H18" s="3" t="n">
        <v>46188</v>
      </c>
      <c r="I18" t="n">
        <v>0</v>
      </c>
    </row>
    <row r="19">
      <c r="A19" t="inlineStr">
        <is>
          <t>D-018</t>
        </is>
      </c>
      <c r="B19" t="inlineStr">
        <is>
          <t>T-004</t>
        </is>
      </c>
      <c r="C19" t="inlineStr">
        <is>
          <t>Complete SCE identification for Townsend</t>
        </is>
      </c>
      <c r="D19" t="inlineStr">
        <is>
          <t>Once SDK is validated, perform full SCE identification using the confirmed P&amp;IDs.</t>
        </is>
      </c>
      <c r="E19" t="inlineStr">
        <is>
          <t>Not Started</t>
        </is>
      </c>
      <c r="H19" s="3" t="n">
        <v>46203</v>
      </c>
      <c r="I19" t="n">
        <v>0</v>
      </c>
    </row>
    <row r="20">
      <c r="A20" t="inlineStr">
        <is>
          <t>D-019</t>
        </is>
      </c>
      <c r="B20" t="inlineStr">
        <is>
          <t>T-005</t>
        </is>
      </c>
      <c r="C20" t="inlineStr">
        <is>
          <t>Prepare site-specific SCE summary packages</t>
        </is>
      </c>
      <c r="D20" t="inlineStr">
        <is>
          <t>Create a per-facility SCE summary with tag lists, Maximo match rates, and gap analysis.</t>
        </is>
      </c>
      <c r="E20" t="inlineStr">
        <is>
          <t>Not Started</t>
        </is>
      </c>
      <c r="F20" s="3" t="n">
        <v>46113</v>
      </c>
      <c r="H20" s="3" t="n">
        <v>46127</v>
      </c>
      <c r="I20" t="n">
        <v>0</v>
      </c>
    </row>
    <row r="21">
      <c r="A21" t="inlineStr">
        <is>
          <t>D-020</t>
        </is>
      </c>
      <c r="B21" t="inlineStr">
        <is>
          <t>T-005</t>
        </is>
      </c>
      <c r="C21" t="inlineStr">
        <is>
          <t>Schedule and conduct site review meetings</t>
        </is>
      </c>
      <c r="D21" t="inlineStr">
        <is>
          <t>Coordinate with site leads to schedule and hold review meetings for all completed facilities.</t>
        </is>
      </c>
      <c r="E21" t="inlineStr">
        <is>
          <t>Not Started</t>
        </is>
      </c>
      <c r="F21" s="3" t="n">
        <v>46127</v>
      </c>
      <c r="H21" s="3" t="n">
        <v>46188</v>
      </c>
      <c r="I21" t="n">
        <v>0</v>
      </c>
    </row>
    <row r="22">
      <c r="A22" t="inlineStr">
        <is>
          <t>D-021</t>
        </is>
      </c>
      <c r="B22" t="inlineStr">
        <is>
          <t>T-005</t>
        </is>
      </c>
      <c r="C22" t="inlineStr">
        <is>
          <t>Document action items and findings from site meetings</t>
        </is>
      </c>
      <c r="D22" t="inlineStr">
        <is>
          <t>Capture feedback, corrective actions, and follow-up items from each site review.</t>
        </is>
      </c>
      <c r="E22" t="inlineStr">
        <is>
          <t>Not Started</t>
        </is>
      </c>
      <c r="F22" s="3" t="n">
        <v>46143</v>
      </c>
      <c r="H22" s="3" t="n">
        <v>46203</v>
      </c>
      <c r="I22" t="n">
        <v>0</v>
      </c>
    </row>
    <row r="23">
      <c r="A23" t="inlineStr">
        <is>
          <t>D-022</t>
        </is>
      </c>
      <c r="B23" t="inlineStr">
        <is>
          <t>T-006</t>
        </is>
      </c>
      <c r="C23" t="inlineStr">
        <is>
          <t>Collect BAHX operating data and inspection records</t>
        </is>
      </c>
      <c r="D23" t="inlineStr">
        <is>
          <t>Gather design datasheets, operating parameters, and historical inspection reports for all BAHX units.</t>
        </is>
      </c>
      <c r="E23" t="inlineStr">
        <is>
          <t>Completed</t>
        </is>
      </c>
      <c r="F23" s="3" t="n">
        <v>45962</v>
      </c>
      <c r="G23" s="3" t="n">
        <v>46006</v>
      </c>
      <c r="H23" s="3" t="n">
        <v>46006</v>
      </c>
      <c r="I23" t="n">
        <v>100</v>
      </c>
    </row>
    <row r="24">
      <c r="A24" t="inlineStr">
        <is>
          <t>D-023</t>
        </is>
      </c>
      <c r="B24" t="inlineStr">
        <is>
          <t>T-006</t>
        </is>
      </c>
      <c r="C24" t="inlineStr">
        <is>
          <t>Identify failure modes and risk factors</t>
        </is>
      </c>
      <c r="D24" t="inlineStr">
        <is>
          <t>Evaluate common BAHX failure mechanisms (mercury embrittlement, thermal shock, fouling, corrosion) and apply to each unit.</t>
        </is>
      </c>
      <c r="E24" t="inlineStr">
        <is>
          <t>Completed</t>
        </is>
      </c>
      <c r="F24" s="3" t="n">
        <v>46006</v>
      </c>
      <c r="G24" s="3" t="n">
        <v>46053</v>
      </c>
      <c r="H24" s="3" t="n">
        <v>46053</v>
      </c>
      <c r="I24" t="n">
        <v>100</v>
      </c>
    </row>
    <row r="25">
      <c r="A25" t="inlineStr">
        <is>
          <t>D-024</t>
        </is>
      </c>
      <c r="B25" t="inlineStr">
        <is>
          <t>T-006</t>
        </is>
      </c>
      <c r="C25" t="inlineStr">
        <is>
          <t>Complete risk ranking of all BAHX units</t>
        </is>
      </c>
      <c r="D25" t="inlineStr">
        <is>
          <t>Rank each BAHX unit by risk based on operating conditions, age, inspection findings, and failure mode applicability.</t>
        </is>
      </c>
      <c r="E25" t="inlineStr">
        <is>
          <t>Completed</t>
        </is>
      </c>
      <c r="F25" s="3" t="n">
        <v>46037</v>
      </c>
      <c r="G25" s="3" t="n">
        <v>46081</v>
      </c>
      <c r="H25" s="3" t="n">
        <v>46081</v>
      </c>
      <c r="I25" t="n">
        <v>100</v>
      </c>
    </row>
    <row r="26">
      <c r="A26" t="inlineStr">
        <is>
          <t>D-025</t>
        </is>
      </c>
      <c r="B26" t="inlineStr">
        <is>
          <t>T-006</t>
        </is>
      </c>
      <c r="C26" t="inlineStr">
        <is>
          <t>Finalize analysis conclusions and recommendations</t>
        </is>
      </c>
      <c r="D26" t="inlineStr">
        <is>
          <t>Summarize findings and develop recommended actions for each unit.</t>
        </is>
      </c>
      <c r="E26" t="inlineStr">
        <is>
          <t>Completed</t>
        </is>
      </c>
      <c r="F26" s="3" t="n">
        <v>46081</v>
      </c>
      <c r="G26" s="3" t="n">
        <v>46096</v>
      </c>
      <c r="H26" s="3" t="n">
        <v>46096</v>
      </c>
      <c r="I26" t="n">
        <v>100</v>
      </c>
    </row>
    <row r="27">
      <c r="A27" t="inlineStr">
        <is>
          <t>D-026</t>
        </is>
      </c>
      <c r="B27" t="inlineStr">
        <is>
          <t>T-007</t>
        </is>
      </c>
      <c r="C27" t="inlineStr">
        <is>
          <t>Draft report - methodology, scope, and background</t>
        </is>
      </c>
      <c r="D27" t="inlineStr">
        <is>
          <t>Write introductory sections covering the study scope, BAHX background, and methodology.</t>
        </is>
      </c>
      <c r="E27" t="inlineStr">
        <is>
          <t>Completed</t>
        </is>
      </c>
      <c r="F27" s="3" t="n">
        <v>46082</v>
      </c>
      <c r="G27" s="3" t="n">
        <v>46091</v>
      </c>
      <c r="H27" s="3" t="n">
        <v>46091</v>
      </c>
      <c r="I27" t="n">
        <v>100</v>
      </c>
    </row>
    <row r="28">
      <c r="A28" t="inlineStr">
        <is>
          <t>D-027</t>
        </is>
      </c>
      <c r="B28" t="inlineStr">
        <is>
          <t>T-007</t>
        </is>
      </c>
      <c r="C28" t="inlineStr">
        <is>
          <t>Draft report - analysis results and risk rankings</t>
        </is>
      </c>
      <c r="D28" t="inlineStr">
        <is>
          <t>Write the core technical sections presenting per-unit findings and risk rankings.</t>
        </is>
      </c>
      <c r="E28" t="inlineStr">
        <is>
          <t>Completed</t>
        </is>
      </c>
      <c r="F28" s="3" t="n">
        <v>46091</v>
      </c>
      <c r="G28" s="3" t="n">
        <v>46101</v>
      </c>
      <c r="H28" s="3" t="n">
        <v>46101</v>
      </c>
      <c r="I28" t="n">
        <v>100</v>
      </c>
    </row>
    <row r="29">
      <c r="A29" t="inlineStr">
        <is>
          <t>D-028</t>
        </is>
      </c>
      <c r="B29" t="inlineStr">
        <is>
          <t>T-007</t>
        </is>
      </c>
      <c r="C29" t="inlineStr">
        <is>
          <t>Draft report - recommendations and action plan</t>
        </is>
      </c>
      <c r="D29" t="inlineStr">
        <is>
          <t>Write the recommendations section with proposed inspection, monitoring, and replacement actions.</t>
        </is>
      </c>
      <c r="E29" t="inlineStr">
        <is>
          <t>In Progress</t>
        </is>
      </c>
      <c r="F29" s="3" t="n">
        <v>46101</v>
      </c>
      <c r="H29" s="3" t="n">
        <v>46109</v>
      </c>
      <c r="I29" t="n">
        <v>60</v>
      </c>
    </row>
    <row r="30">
      <c r="A30" t="inlineStr">
        <is>
          <t>D-029</t>
        </is>
      </c>
      <c r="B30" t="inlineStr">
        <is>
          <t>T-007</t>
        </is>
      </c>
      <c r="C30" t="inlineStr">
        <is>
          <t>Incorporate vendor cost and lead-time data (post Apr 1 meeting)</t>
        </is>
      </c>
      <c r="D30" t="inlineStr">
        <is>
          <t>After the April 1st vendor meeting, add replacement unit cost and lead-time info to the report.</t>
        </is>
      </c>
      <c r="E30" t="inlineStr">
        <is>
          <t>Not Started</t>
        </is>
      </c>
      <c r="F30" s="3" t="n">
        <v>46113</v>
      </c>
      <c r="H30" s="3" t="n">
        <v>46119</v>
      </c>
      <c r="I30" t="n">
        <v>0</v>
      </c>
    </row>
    <row r="31">
      <c r="A31" t="inlineStr">
        <is>
          <t>D-030</t>
        </is>
      </c>
      <c r="B31" t="inlineStr">
        <is>
          <t>T-007</t>
        </is>
      </c>
      <c r="C31" t="inlineStr">
        <is>
          <t>Final review, formatting, and report submission</t>
        </is>
      </c>
      <c r="D31" t="inlineStr">
        <is>
          <t>Proofread, format per AltaGas standards, and submit the final BAHX report.</t>
        </is>
      </c>
      <c r="E31" t="inlineStr">
        <is>
          <t>Not Started</t>
        </is>
      </c>
      <c r="F31" s="3" t="n">
        <v>46119</v>
      </c>
      <c r="H31" s="3" t="n">
        <v>46127</v>
      </c>
      <c r="I31" t="n">
        <v>0</v>
      </c>
    </row>
    <row r="32">
      <c r="A32" t="inlineStr">
        <is>
          <t>D-031</t>
        </is>
      </c>
      <c r="B32" t="inlineStr">
        <is>
          <t>T-008</t>
        </is>
      </c>
      <c r="C32" t="inlineStr">
        <is>
          <t>Outline presentation structure and key messages</t>
        </is>
      </c>
      <c r="D32" t="inlineStr">
        <is>
          <t>Define slide flow: background, methodology, key findings, risk rankings, recommendations.</t>
        </is>
      </c>
      <c r="E32" t="inlineStr">
        <is>
          <t>In Progress</t>
        </is>
      </c>
      <c r="F32" s="3" t="n">
        <v>46101</v>
      </c>
      <c r="H32" s="3" t="n">
        <v>46106</v>
      </c>
      <c r="I32" t="n">
        <v>50</v>
      </c>
    </row>
    <row r="33">
      <c r="A33" t="inlineStr">
        <is>
          <t>D-032</t>
        </is>
      </c>
      <c r="B33" t="inlineStr">
        <is>
          <t>T-008</t>
        </is>
      </c>
      <c r="C33" t="inlineStr">
        <is>
          <t>Draft presentation slides</t>
        </is>
      </c>
      <c r="D33" t="inlineStr">
        <is>
          <t>Build all slides with data, charts, and summary tables from the report.</t>
        </is>
      </c>
      <c r="E33" t="inlineStr">
        <is>
          <t>Not Started</t>
        </is>
      </c>
      <c r="F33" s="3" t="n">
        <v>46106</v>
      </c>
      <c r="H33" s="3" t="n">
        <v>46122</v>
      </c>
      <c r="I33" t="n">
        <v>0</v>
      </c>
    </row>
    <row r="34">
      <c r="A34" t="inlineStr">
        <is>
          <t>D-033</t>
        </is>
      </c>
      <c r="B34" t="inlineStr">
        <is>
          <t>T-008</t>
        </is>
      </c>
      <c r="C34" t="inlineStr">
        <is>
          <t>Add vendor cost and lead-time slides (post Apr 1 meeting)</t>
        </is>
      </c>
      <c r="D34" t="inlineStr">
        <is>
          <t>After the vendor meeting, add replacement cost and timeline slides.</t>
        </is>
      </c>
      <c r="E34" t="inlineStr">
        <is>
          <t>Not Started</t>
        </is>
      </c>
      <c r="F34" s="3" t="n">
        <v>46113</v>
      </c>
      <c r="H34" s="3" t="n">
        <v>46124</v>
      </c>
      <c r="I34" t="n">
        <v>0</v>
      </c>
    </row>
    <row r="35">
      <c r="A35" t="inlineStr">
        <is>
          <t>D-034</t>
        </is>
      </c>
      <c r="B35" t="inlineStr">
        <is>
          <t>T-008</t>
        </is>
      </c>
      <c r="C35" t="inlineStr">
        <is>
          <t>Finalize and review presentation</t>
        </is>
      </c>
      <c r="D35" t="inlineStr">
        <is>
          <t>Polish visuals, review with supervisor, and finalize for delivery.</t>
        </is>
      </c>
      <c r="E35" t="inlineStr">
        <is>
          <t>Not Started</t>
        </is>
      </c>
      <c r="F35" s="3" t="n">
        <v>46124</v>
      </c>
      <c r="H35" s="3" t="n">
        <v>46132</v>
      </c>
      <c r="I35" t="n">
        <v>0</v>
      </c>
    </row>
    <row r="36">
      <c r="A36" t="inlineStr">
        <is>
          <t>D-035</t>
        </is>
      </c>
      <c r="B36" t="inlineStr">
        <is>
          <t>T-009</t>
        </is>
      </c>
      <c r="C36" t="inlineStr">
        <is>
          <t>Request SOPs for all BAHX-equipped facilities</t>
        </is>
      </c>
      <c r="D36" t="inlineStr">
        <is>
          <t>Contact operations/document control to obtain current SOPs covering BAHX units.</t>
        </is>
      </c>
      <c r="E36" t="inlineStr">
        <is>
          <t>Completed</t>
        </is>
      </c>
      <c r="F36" s="3" t="n">
        <v>46096</v>
      </c>
      <c r="G36" s="3" t="n">
        <v>46101</v>
      </c>
      <c r="H36" s="3" t="n">
        <v>46101</v>
      </c>
      <c r="I36" t="n">
        <v>100</v>
      </c>
    </row>
    <row r="37">
      <c r="A37" t="inlineStr">
        <is>
          <t>D-036</t>
        </is>
      </c>
      <c r="B37" t="inlineStr">
        <is>
          <t>T-009</t>
        </is>
      </c>
      <c r="C37" t="inlineStr">
        <is>
          <t>Review SOPs for BAHX-related comments and restrictions</t>
        </is>
      </c>
      <c r="D37" t="inlineStr">
        <is>
          <t>Read through received SOPs and extract any operational notes, startup/shutdown cautions, or maintenance remarks about BAHX units.</t>
        </is>
      </c>
      <c r="E37" t="inlineStr">
        <is>
          <t>Not Started</t>
        </is>
      </c>
      <c r="F37" s="3" t="n">
        <v>46106</v>
      </c>
      <c r="H37" s="3" t="n">
        <v>46117</v>
      </c>
      <c r="I37" t="n">
        <v>0</v>
      </c>
    </row>
    <row r="38">
      <c r="A38" t="inlineStr">
        <is>
          <t>D-037</t>
        </is>
      </c>
      <c r="B38" t="inlineStr">
        <is>
          <t>T-009</t>
        </is>
      </c>
      <c r="C38" t="inlineStr">
        <is>
          <t>Incorporate SOP findings into BAHX report</t>
        </is>
      </c>
      <c r="D38" t="inlineStr">
        <is>
          <t>Add any relevant SOP observations to the final report and recommendations.</t>
        </is>
      </c>
      <c r="E38" t="inlineStr">
        <is>
          <t>Not Started</t>
        </is>
      </c>
      <c r="F38" s="3" t="n">
        <v>46117</v>
      </c>
      <c r="H38" s="3" t="n">
        <v>46122</v>
      </c>
      <c r="I38" t="n">
        <v>0</v>
      </c>
    </row>
    <row r="39">
      <c r="A39" t="inlineStr">
        <is>
          <t>D-038</t>
        </is>
      </c>
      <c r="B39" t="inlineStr">
        <is>
          <t>T-010</t>
        </is>
      </c>
      <c r="C39" t="inlineStr">
        <is>
          <t>Prepare BAHX unit specs and questions for vendor</t>
        </is>
      </c>
      <c r="D39" t="inlineStr">
        <is>
          <t>Compile the specs of current BAHX units and prepare a list of questions about cost, lead time, and replacement options.</t>
        </is>
      </c>
      <c r="E39" t="inlineStr">
        <is>
          <t>In Progress</t>
        </is>
      </c>
      <c r="F39" s="3" t="n">
        <v>46101</v>
      </c>
      <c r="H39" s="3" t="n">
        <v>46109</v>
      </c>
      <c r="I39" t="n">
        <v>30</v>
      </c>
    </row>
    <row r="40">
      <c r="A40" t="inlineStr">
        <is>
          <t>D-039</t>
        </is>
      </c>
      <c r="B40" t="inlineStr">
        <is>
          <t>T-010</t>
        </is>
      </c>
      <c r="C40" t="inlineStr">
        <is>
          <t>Attend vendor meeting and capture notes</t>
        </is>
      </c>
      <c r="D40" t="inlineStr">
        <is>
          <t>Attend the April 1st meeting; record cost quotes, lead times, and configuration options.</t>
        </is>
      </c>
      <c r="E40" t="inlineStr">
        <is>
          <t>Not Started</t>
        </is>
      </c>
      <c r="F40" s="3" t="n">
        <v>46113</v>
      </c>
      <c r="H40" s="3" t="n">
        <v>46113</v>
      </c>
      <c r="I40" t="n">
        <v>0</v>
      </c>
    </row>
    <row r="41">
      <c r="A41" t="inlineStr">
        <is>
          <t>D-040</t>
        </is>
      </c>
      <c r="B41" t="inlineStr">
        <is>
          <t>T-010</t>
        </is>
      </c>
      <c r="C41" t="inlineStr">
        <is>
          <t>Summarize vendor data into cost/lead-time table</t>
        </is>
      </c>
      <c r="D41" t="inlineStr">
        <is>
          <t>Organize vendor quotes into a structured table for inclusion in the report and presentation.</t>
        </is>
      </c>
      <c r="E41" t="inlineStr">
        <is>
          <t>Not Started</t>
        </is>
      </c>
      <c r="F41" s="3" t="n">
        <v>46113</v>
      </c>
      <c r="H41" s="3" t="n">
        <v>46116</v>
      </c>
      <c r="I41" t="n">
        <v>0</v>
      </c>
    </row>
    <row r="42">
      <c r="A42" t="inlineStr">
        <is>
          <t>D-041</t>
        </is>
      </c>
      <c r="B42" t="inlineStr">
        <is>
          <t>T-011</t>
        </is>
      </c>
      <c r="C42" t="inlineStr">
        <is>
          <t>Gather historical corrosion coupon data for all facilities</t>
        </is>
      </c>
      <c r="D42" t="inlineStr">
        <is>
          <t>Collect and clean all available historical corrosion coupon measurement data.</t>
        </is>
      </c>
      <c r="E42" t="inlineStr">
        <is>
          <t>Completed</t>
        </is>
      </c>
      <c r="F42" s="3" t="n">
        <v>45901</v>
      </c>
      <c r="G42" s="3" t="n">
        <v>45945</v>
      </c>
      <c r="H42" s="3" t="n">
        <v>45945</v>
      </c>
      <c r="I42" t="n">
        <v>100</v>
      </c>
    </row>
    <row r="43">
      <c r="A43" t="inlineStr">
        <is>
          <t>D-042</t>
        </is>
      </c>
      <c r="B43" t="inlineStr">
        <is>
          <t>T-011</t>
        </is>
      </c>
      <c r="C43" t="inlineStr">
        <is>
          <t>Design and build Power BI data model</t>
        </is>
      </c>
      <c r="D43" t="inlineStr">
        <is>
          <t>Create the data model, relationships, and DAX measures for corrosion tracking.</t>
        </is>
      </c>
      <c r="E43" t="inlineStr">
        <is>
          <t>Completed</t>
        </is>
      </c>
      <c r="F43" s="3" t="n">
        <v>45945</v>
      </c>
      <c r="G43" s="3" t="n">
        <v>45991</v>
      </c>
      <c r="H43" s="3" t="n">
        <v>45991</v>
      </c>
      <c r="I43" t="n">
        <v>100</v>
      </c>
    </row>
    <row r="44">
      <c r="A44" t="inlineStr">
        <is>
          <t>D-043</t>
        </is>
      </c>
      <c r="B44" t="inlineStr">
        <is>
          <t>T-011</t>
        </is>
      </c>
      <c r="C44" t="inlineStr">
        <is>
          <t>Build dashboard visuals and report pages</t>
        </is>
      </c>
      <c r="D44" t="inlineStr">
        <is>
          <t>Create all report pages: facility overview, trend charts, coupon comparison, and alerts.</t>
        </is>
      </c>
      <c r="E44" t="inlineStr">
        <is>
          <t>Completed</t>
        </is>
      </c>
      <c r="F44" s="3" t="n">
        <v>45992</v>
      </c>
      <c r="G44" s="3" t="n">
        <v>46053</v>
      </c>
      <c r="H44" s="3" t="n">
        <v>46053</v>
      </c>
      <c r="I44" t="n">
        <v>100</v>
      </c>
    </row>
    <row r="45">
      <c r="A45" t="inlineStr">
        <is>
          <t>D-044</t>
        </is>
      </c>
      <c r="B45" t="inlineStr">
        <is>
          <t>T-011</t>
        </is>
      </c>
      <c r="C45" t="inlineStr">
        <is>
          <t>Deploy to Power BI Service and validate with stakeholders</t>
        </is>
      </c>
      <c r="D45" t="inlineStr">
        <is>
          <t>Publish to the workspace, share with stakeholders, and incorporate feedback.</t>
        </is>
      </c>
      <c r="E45" t="inlineStr">
        <is>
          <t>Completed</t>
        </is>
      </c>
      <c r="F45" s="3" t="n">
        <v>46054</v>
      </c>
      <c r="G45" s="3" t="n">
        <v>46096</v>
      </c>
      <c r="H45" s="3" t="n">
        <v>46096</v>
      </c>
      <c r="I45" t="n">
        <v>100</v>
      </c>
    </row>
    <row r="46">
      <c r="A46" t="inlineStr">
        <is>
          <t>D-045</t>
        </is>
      </c>
      <c r="B46" t="inlineStr">
        <is>
          <t>T-012</t>
        </is>
      </c>
      <c r="C46" t="inlineStr">
        <is>
          <t>Define email ingestion requirements and data format</t>
        </is>
      </c>
      <c r="D46" t="inlineStr">
        <is>
          <t>Document the email source, attachment format, field mapping, and expected cadence.</t>
        </is>
      </c>
      <c r="E46" t="inlineStr">
        <is>
          <t>Not Started</t>
        </is>
      </c>
      <c r="F46" s="3" t="n">
        <v>46113</v>
      </c>
      <c r="H46" s="3" t="n">
        <v>46127</v>
      </c>
      <c r="I46" t="n">
        <v>0</v>
      </c>
    </row>
    <row r="47">
      <c r="A47" t="inlineStr">
        <is>
          <t>D-046</t>
        </is>
      </c>
      <c r="B47" t="inlineStr">
        <is>
          <t>T-012</t>
        </is>
      </c>
      <c r="C47" t="inlineStr">
        <is>
          <t>Build email-triggered Power Automate / Logic App flow</t>
        </is>
      </c>
      <c r="D47" t="inlineStr">
        <is>
          <t>Create the automated flow that monitors the mailbox and triggers data extraction on new messages.</t>
        </is>
      </c>
      <c r="E47" t="inlineStr">
        <is>
          <t>Not Started</t>
        </is>
      </c>
      <c r="F47" s="3" t="n">
        <v>46127</v>
      </c>
      <c r="H47" s="3" t="n">
        <v>46157</v>
      </c>
      <c r="I47" t="n">
        <v>0</v>
      </c>
    </row>
    <row r="48">
      <c r="A48" t="inlineStr">
        <is>
          <t>D-047</t>
        </is>
      </c>
      <c r="B48" t="inlineStr">
        <is>
          <t>T-012</t>
        </is>
      </c>
      <c r="C48" t="inlineStr">
        <is>
          <t>Build data transformation and loading step</t>
        </is>
      </c>
      <c r="D48" t="inlineStr">
        <is>
          <t>Parse emailed data, clean and transform to match the Power BI data model, and load into the dataset.</t>
        </is>
      </c>
      <c r="E48" t="inlineStr">
        <is>
          <t>Not Started</t>
        </is>
      </c>
      <c r="F48" s="3" t="n">
        <v>46157</v>
      </c>
      <c r="H48" s="3" t="n">
        <v>46188</v>
      </c>
      <c r="I48" t="n">
        <v>0</v>
      </c>
    </row>
    <row r="49">
      <c r="A49" t="inlineStr">
        <is>
          <t>D-048</t>
        </is>
      </c>
      <c r="B49" t="inlineStr">
        <is>
          <t>T-012</t>
        </is>
      </c>
      <c r="C49" t="inlineStr">
        <is>
          <t>End-to-end pipeline testing and error handling</t>
        </is>
      </c>
      <c r="D49" t="inlineStr">
        <is>
          <t>Test the full pipeline with sample and live emails; add error notifications and retry logic.</t>
        </is>
      </c>
      <c r="E49" t="inlineStr">
        <is>
          <t>Not Started</t>
        </is>
      </c>
      <c r="F49" s="3" t="n">
        <v>46188</v>
      </c>
      <c r="H49" s="3" t="n">
        <v>46218</v>
      </c>
      <c r="I49" t="n">
        <v>0</v>
      </c>
    </row>
    <row r="50">
      <c r="A50" t="inlineStr">
        <is>
          <t>D-049</t>
        </is>
      </c>
      <c r="B50" t="inlineStr">
        <is>
          <t>T-012</t>
        </is>
      </c>
      <c r="C50" t="inlineStr">
        <is>
          <t>Deploy pipeline to production</t>
        </is>
      </c>
      <c r="D50" t="inlineStr">
        <is>
          <t>Promote the pipeline to production and confirm automatic data refresh is working.</t>
        </is>
      </c>
      <c r="E50" t="inlineStr">
        <is>
          <t>Not Started</t>
        </is>
      </c>
      <c r="F50" s="3" t="n">
        <v>46218</v>
      </c>
      <c r="H50" s="3" t="n">
        <v>46234</v>
      </c>
      <c r="I50" t="n">
        <v>0</v>
      </c>
    </row>
    <row r="51">
      <c r="A51" t="inlineStr">
        <is>
          <t>D-050</t>
        </is>
      </c>
      <c r="B51" t="inlineStr">
        <is>
          <t>T-013</t>
        </is>
      </c>
      <c r="C51" t="inlineStr">
        <is>
          <t>Document data model, DAX measures, and data sources</t>
        </is>
      </c>
      <c r="D51" t="inlineStr">
        <is>
          <t>Write technical docs covering the Power BI data model, all DAX formulas, and data source connections.</t>
        </is>
      </c>
      <c r="E51" t="inlineStr">
        <is>
          <t>Not Started</t>
        </is>
      </c>
      <c r="F51" s="3" t="n">
        <v>46218</v>
      </c>
      <c r="H51" s="3" t="n">
        <v>46241</v>
      </c>
      <c r="I51" t="n">
        <v>0</v>
      </c>
    </row>
    <row r="52">
      <c r="A52" t="inlineStr">
        <is>
          <t>D-051</t>
        </is>
      </c>
      <c r="B52" t="inlineStr">
        <is>
          <t>T-013</t>
        </is>
      </c>
      <c r="C52" t="inlineStr">
        <is>
          <t>Document automated pipeline architecture and configuration</t>
        </is>
      </c>
      <c r="D52" t="inlineStr">
        <is>
          <t>Write a guide covering the email pipeline: flow triggers, data transformations, error handling, and monitoring.</t>
        </is>
      </c>
      <c r="E52" t="inlineStr">
        <is>
          <t>Not Started</t>
        </is>
      </c>
      <c r="F52" s="3" t="n">
        <v>46235</v>
      </c>
      <c r="H52" s="3" t="n">
        <v>46249</v>
      </c>
      <c r="I52" t="n">
        <v>0</v>
      </c>
    </row>
    <row r="53">
      <c r="A53" t="inlineStr">
        <is>
          <t>D-052</t>
        </is>
      </c>
      <c r="B53" t="inlineStr">
        <is>
          <t>T-013</t>
        </is>
      </c>
      <c r="C53" t="inlineStr">
        <is>
          <t>Create user guide for dashboard consumers</t>
        </is>
      </c>
      <c r="D53" t="inlineStr">
        <is>
          <t>Write a guide for end-users explaining how to navigate the dashboard, interpret the visuals, and export data.</t>
        </is>
      </c>
      <c r="E53" t="inlineStr">
        <is>
          <t>Not Started</t>
        </is>
      </c>
      <c r="F53" s="3" t="n">
        <v>46244</v>
      </c>
      <c r="H53" s="3" t="n">
        <v>46256</v>
      </c>
      <c r="I53" t="n">
        <v>0</v>
      </c>
    </row>
    <row r="54">
      <c r="A54" t="inlineStr">
        <is>
          <t>D-053</t>
        </is>
      </c>
      <c r="B54" t="inlineStr">
        <is>
          <t>T-013</t>
        </is>
      </c>
      <c r="C54" t="inlineStr">
        <is>
          <t>Conduct handoff walkthrough with successor</t>
        </is>
      </c>
      <c r="D54" t="inlineStr">
        <is>
          <t>Walk through all documentation and systems live with the person taking over the dashboard.</t>
        </is>
      </c>
      <c r="E54" t="inlineStr">
        <is>
          <t>Not Started</t>
        </is>
      </c>
      <c r="F54" s="3" t="n">
        <v>46256</v>
      </c>
      <c r="H54" s="3" t="n">
        <v>46265</v>
      </c>
      <c r="I54" t="n">
        <v>0</v>
      </c>
    </row>
    <row r="55">
      <c r="A55" t="inlineStr">
        <is>
          <t>D-054</t>
        </is>
      </c>
      <c r="B55" t="inlineStr">
        <is>
          <t>T-014</t>
        </is>
      </c>
      <c r="C55" t="inlineStr">
        <is>
          <t>Define inspection scope requirements and inputs</t>
        </is>
      </c>
      <c r="D55" t="inlineStr">
        <is>
          <t>Identify all required inputs, logic, and output formats for generating inspection scopes.</t>
        </is>
      </c>
      <c r="E55" t="inlineStr">
        <is>
          <t>Completed</t>
        </is>
      </c>
      <c r="F55" s="3" t="n">
        <v>45809</v>
      </c>
      <c r="G55" s="3" t="n">
        <v>45853</v>
      </c>
      <c r="H55" s="3" t="n">
        <v>45853</v>
      </c>
      <c r="I55" t="n">
        <v>100</v>
      </c>
    </row>
    <row r="56">
      <c r="A56" t="inlineStr">
        <is>
          <t>D-055</t>
        </is>
      </c>
      <c r="B56" t="inlineStr">
        <is>
          <t>T-014</t>
        </is>
      </c>
      <c r="C56" t="inlineStr">
        <is>
          <t>Develop inspection scope generation logic</t>
        </is>
      </c>
      <c r="D56" t="inlineStr">
        <is>
          <t>Implement the core logic to produce inspection scopes from input data.</t>
        </is>
      </c>
      <c r="E56" t="inlineStr">
        <is>
          <t>Completed</t>
        </is>
      </c>
      <c r="F56" s="3" t="n">
        <v>45853</v>
      </c>
      <c r="G56" s="3" t="n">
        <v>45991</v>
      </c>
      <c r="H56" s="3" t="n">
        <v>45991</v>
      </c>
      <c r="I56" t="n">
        <v>100</v>
      </c>
    </row>
    <row r="57">
      <c r="A57" t="inlineStr">
        <is>
          <t>D-056</t>
        </is>
      </c>
      <c r="B57" t="inlineStr">
        <is>
          <t>T-014</t>
        </is>
      </c>
      <c r="C57" t="inlineStr">
        <is>
          <t>Test and validate with real inspection data</t>
        </is>
      </c>
      <c r="D57" t="inlineStr">
        <is>
          <t>Run the tool against real-world data and confirm output accuracy with engineering.</t>
        </is>
      </c>
      <c r="E57" t="inlineStr">
        <is>
          <t>Completed</t>
        </is>
      </c>
      <c r="F57" s="3" t="n">
        <v>45992</v>
      </c>
      <c r="G57" s="3" t="n">
        <v>46053</v>
      </c>
      <c r="H57" s="3" t="n">
        <v>46053</v>
      </c>
      <c r="I57" t="n">
        <v>100</v>
      </c>
    </row>
    <row r="58">
      <c r="A58" t="inlineStr">
        <is>
          <t>D-057</t>
        </is>
      </c>
      <c r="B58" t="inlineStr">
        <is>
          <t>T-014</t>
        </is>
      </c>
      <c r="C58" t="inlineStr">
        <is>
          <t>Deploy tool for active use</t>
        </is>
      </c>
      <c r="D58" t="inlineStr">
        <is>
          <t>Package and deploy the tool so the team can use it in daily workflows.</t>
        </is>
      </c>
      <c r="E58" t="inlineStr">
        <is>
          <t>Completed</t>
        </is>
      </c>
      <c r="F58" s="3" t="n">
        <v>46054</v>
      </c>
      <c r="G58" s="3" t="n">
        <v>46081</v>
      </c>
      <c r="H58" s="3" t="n">
        <v>46081</v>
      </c>
      <c r="I58" t="n">
        <v>100</v>
      </c>
    </row>
    <row r="59">
      <c r="A59" t="inlineStr">
        <is>
          <t>D-058</t>
        </is>
      </c>
      <c r="B59" t="inlineStr">
        <is>
          <t>T-015</t>
        </is>
      </c>
      <c r="C59" t="inlineStr">
        <is>
          <t>Write technical documentation - code architecture and logic</t>
        </is>
      </c>
      <c r="D59" t="inlineStr">
        <is>
          <t>Document the tool's code structure, key modules, and generation logic for future developers.</t>
        </is>
      </c>
      <c r="E59" t="inlineStr">
        <is>
          <t>Not Started</t>
        </is>
      </c>
      <c r="F59" s="3" t="n">
        <v>46106</v>
      </c>
      <c r="H59" s="3" t="n">
        <v>46119</v>
      </c>
      <c r="I59" t="n">
        <v>0</v>
      </c>
    </row>
    <row r="60">
      <c r="A60" t="inlineStr">
        <is>
          <t>D-059</t>
        </is>
      </c>
      <c r="B60" t="inlineStr">
        <is>
          <t>T-015</t>
        </is>
      </c>
      <c r="C60" t="inlineStr">
        <is>
          <t>Write user guide - how to run the tool and interpret outputs</t>
        </is>
      </c>
      <c r="D60" t="inlineStr">
        <is>
          <t>Create a step-by-step user guide covering inputs, execution, and output interpretation.</t>
        </is>
      </c>
      <c r="E60" t="inlineStr">
        <is>
          <t>Not Started</t>
        </is>
      </c>
      <c r="F60" s="3" t="n">
        <v>46119</v>
      </c>
      <c r="H60" s="3" t="n">
        <v>46127</v>
      </c>
      <c r="I60" t="n">
        <v>0</v>
      </c>
    </row>
    <row r="61">
      <c r="A61" t="inlineStr">
        <is>
          <t>D-060</t>
        </is>
      </c>
      <c r="B61" t="inlineStr">
        <is>
          <t>T-015</t>
        </is>
      </c>
      <c r="C61" t="inlineStr">
        <is>
          <t>Document known limitations and future improvement ideas</t>
        </is>
      </c>
      <c r="D61" t="inlineStr">
        <is>
          <t>List any known edge cases, limitations, and potential enhancements.</t>
        </is>
      </c>
      <c r="E61" t="inlineStr">
        <is>
          <t>Not Started</t>
        </is>
      </c>
      <c r="F61" s="3" t="n">
        <v>46127</v>
      </c>
      <c r="H61" s="3" t="n">
        <v>46134</v>
      </c>
      <c r="I61" t="n">
        <v>0</v>
      </c>
    </row>
    <row r="62">
      <c r="A62" t="inlineStr">
        <is>
          <t>D-061</t>
        </is>
      </c>
      <c r="B62" t="inlineStr">
        <is>
          <t>T-015</t>
        </is>
      </c>
      <c r="C62" t="inlineStr">
        <is>
          <t>Conduct handoff walkthrough</t>
        </is>
      </c>
      <c r="D62" t="inlineStr">
        <is>
          <t>Walk through the tool, documentation, and codebase with the designated successor.</t>
        </is>
      </c>
      <c r="E62" t="inlineStr">
        <is>
          <t>Not Started</t>
        </is>
      </c>
      <c r="F62" s="3" t="n">
        <v>46134</v>
      </c>
      <c r="H62" s="3" t="n">
        <v>46142</v>
      </c>
      <c r="I62" t="n">
        <v>0</v>
      </c>
    </row>
    <row r="63">
      <c r="A63" t="inlineStr">
        <is>
          <t>D-062</t>
        </is>
      </c>
      <c r="B63" t="inlineStr">
        <is>
          <t>T-016</t>
        </is>
      </c>
      <c r="C63" t="inlineStr">
        <is>
          <t>Units cleanup - remove manual overrides, pull from PI tags</t>
        </is>
      </c>
      <c r="D63" t="inlineStr">
        <is>
          <t>Remove manually typed display units and update each data link to pull units directly from the live PI tag configuration.</t>
        </is>
      </c>
      <c r="E63" t="inlineStr">
        <is>
          <t>Ongoing</t>
        </is>
      </c>
      <c r="I63" t="n">
        <v>5</v>
      </c>
    </row>
    <row r="64">
      <c r="A64" t="inlineStr">
        <is>
          <t>D-063</t>
        </is>
      </c>
      <c r="B64" t="inlineStr">
        <is>
          <t>T-016</t>
        </is>
      </c>
      <c r="C64" t="inlineStr">
        <is>
          <t>Tag configuration review - flag misconfigured tags</t>
        </is>
      </c>
      <c r="D64" t="inlineStr">
        <is>
          <t>Flag any tags requiring improved configuration (naming alignment, missing attributes, incorrect engineering units).</t>
        </is>
      </c>
      <c r="E64" t="inlineStr">
        <is>
          <t>Ongoing</t>
        </is>
      </c>
      <c r="I64" t="n">
        <v>5</v>
      </c>
    </row>
    <row r="65">
      <c r="A65" t="inlineStr">
        <is>
          <t>D-064</t>
        </is>
      </c>
      <c r="B65" t="inlineStr">
        <is>
          <t>T-016</t>
        </is>
      </c>
      <c r="C65" t="inlineStr">
        <is>
          <t>Screen linking - add or correct navigation links</t>
        </is>
      </c>
      <c r="D65" t="inlineStr">
        <is>
          <t>Add or correct navigation links between screens; reference PFDs to ensure asset relationships are accurate.</t>
        </is>
      </c>
      <c r="E65" t="inlineStr">
        <is>
          <t>Ongoing</t>
        </is>
      </c>
      <c r="I65" t="n">
        <v>5</v>
      </c>
    </row>
    <row r="66">
      <c r="A66" t="inlineStr">
        <is>
          <t>D-065</t>
        </is>
      </c>
      <c r="B66" t="inlineStr">
        <is>
          <t>T-017</t>
        </is>
      </c>
      <c r="C66" t="inlineStr">
        <is>
          <t>Explore AI-assisted workflow opportunities</t>
        </is>
      </c>
      <c r="D66" t="inlineStr">
        <is>
          <t>Identify use cases where AI or ML could improve engineering efficiency at AltaGas.</t>
        </is>
      </c>
      <c r="E66" t="inlineStr">
        <is>
          <t>Ongoing</t>
        </is>
      </c>
      <c r="I66" t="n">
        <v>20</v>
      </c>
    </row>
    <row r="67">
      <c r="A67" t="inlineStr">
        <is>
          <t>D-066</t>
        </is>
      </c>
      <c r="B67" t="inlineStr">
        <is>
          <t>T-017</t>
        </is>
      </c>
      <c r="C67" t="inlineStr">
        <is>
          <t>Evaluate SOP automation feasibility</t>
        </is>
      </c>
      <c r="D67" t="inlineStr">
        <is>
          <t>Assess whether AI can standardize or generate SOPs programmatically.</t>
        </is>
      </c>
      <c r="E67" t="inlineStr">
        <is>
          <t>Ongoing</t>
        </is>
      </c>
      <c r="I67" t="n">
        <v>10</v>
      </c>
    </row>
    <row r="68">
      <c r="A68" t="inlineStr">
        <is>
          <t>D-067</t>
        </is>
      </c>
      <c r="B68" t="inlineStr">
        <is>
          <t>T-017</t>
        </is>
      </c>
      <c r="C68" t="inlineStr">
        <is>
          <t>Investigate ML models on PI data for operational insights</t>
        </is>
      </c>
      <c r="D68" t="inlineStr">
        <is>
          <t>Prototype ML approaches for anomaly detection or optimization using PI historian data.</t>
        </is>
      </c>
      <c r="E68" t="inlineStr">
        <is>
          <t>Ongoing</t>
        </is>
      </c>
      <c r="I6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2" t="inlineStr">
        <is>
          <t>Item ID</t>
        </is>
      </c>
      <c r="B1" s="2" t="inlineStr">
        <is>
          <t>Item Type</t>
        </is>
      </c>
      <c r="C1" s="2" t="inlineStr">
        <is>
          <t>Title</t>
        </is>
      </c>
      <c r="D1" s="2" t="inlineStr">
        <is>
          <t>Parent ID</t>
        </is>
      </c>
      <c r="E1" s="2" t="inlineStr">
        <is>
          <t>Start Date</t>
        </is>
      </c>
      <c r="F1" s="2" t="inlineStr">
        <is>
          <t>Duration (days)</t>
        </is>
      </c>
      <c r="G1" s="2" t="inlineStr">
        <is>
          <t>End Date</t>
        </is>
      </c>
      <c r="H1" s="2" t="inlineStr">
        <is>
          <t>Deadline</t>
        </is>
      </c>
      <c r="I1" s="2" t="inlineStr">
        <is>
          <t>Status</t>
        </is>
      </c>
      <c r="J1" s="2" t="inlineStr">
        <is>
          <t>% Complete</t>
        </is>
      </c>
      <c r="K1" s="2" t="inlineStr">
        <is>
          <t>Time Allocated</t>
        </is>
      </c>
      <c r="L1" t="inlineStr">
        <is>
          <t>Time Spent</t>
        </is>
      </c>
      <c r="M1" t="inlineStr">
        <is>
          <t>Scheduled Date</t>
        </is>
      </c>
      <c r="N1" t="inlineStr">
        <is>
          <t>Milestones</t>
        </is>
      </c>
    </row>
    <row r="2">
      <c r="A2" t="inlineStr">
        <is>
          <t>P-001</t>
        </is>
      </c>
      <c r="B2" t="inlineStr">
        <is>
          <t>Project</t>
        </is>
      </c>
      <c r="C2">
        <f>IFERROR(VLOOKUP($A2,'Projects'!$A:$M,2,FALSE),"")</f>
        <v/>
      </c>
      <c r="D2" t="inlineStr"/>
      <c r="E2">
        <f>IFERROR(VLOOKUP($A2,'Projects'!$A:$M,9,FALSE),"")</f>
        <v/>
      </c>
      <c r="F2">
        <f>IFERROR(IF(F2="","",G2-F2),"")</f>
        <v/>
      </c>
      <c r="G2">
        <f>IFERROR(VLOOKUP($A2,'Projects'!$A:$M,10,FALSE),"")</f>
        <v/>
      </c>
      <c r="H2">
        <f>IFERROR(VLOOKUP($A2,'Projects'!$A:$M,11,FALSE),"")</f>
        <v/>
      </c>
      <c r="I2">
        <f>IFERROR(VLOOKUP($A2,'Projects'!$A:$M,7,FALSE),"")</f>
        <v/>
      </c>
      <c r="J2" t="inlineStr"/>
      <c r="K2" t="inlineStr"/>
      <c r="L2" t="inlineStr"/>
      <c r="M2" t="inlineStr"/>
      <c r="N2" t="inlineStr"/>
    </row>
    <row r="3">
      <c r="A3" t="inlineStr">
        <is>
          <t>P-002</t>
        </is>
      </c>
      <c r="B3" t="inlineStr">
        <is>
          <t>Project</t>
        </is>
      </c>
      <c r="C3">
        <f>IFERROR(VLOOKUP($A3,'Projects'!$A:$M,2,FALSE),"")</f>
        <v/>
      </c>
      <c r="D3" t="inlineStr"/>
      <c r="E3">
        <f>IFERROR(VLOOKUP($A3,'Projects'!$A:$M,9,FALSE),"")</f>
        <v/>
      </c>
      <c r="F3">
        <f>IFERROR(IF(F3="","",G3-F3),"")</f>
        <v/>
      </c>
      <c r="G3">
        <f>IFERROR(VLOOKUP($A3,'Projects'!$A:$M,10,FALSE),"")</f>
        <v/>
      </c>
      <c r="H3">
        <f>IFERROR(VLOOKUP($A3,'Projects'!$A:$M,11,FALSE),"")</f>
        <v/>
      </c>
      <c r="I3">
        <f>IFERROR(VLOOKUP($A3,'Projects'!$A:$M,7,FALSE),"")</f>
        <v/>
      </c>
      <c r="J3" t="inlineStr"/>
      <c r="K3" t="inlineStr"/>
      <c r="L3" t="inlineStr"/>
      <c r="M3" t="inlineStr"/>
      <c r="N3" t="inlineStr"/>
    </row>
    <row r="4">
      <c r="A4" t="inlineStr">
        <is>
          <t>P-003</t>
        </is>
      </c>
      <c r="B4" t="inlineStr">
        <is>
          <t>Project</t>
        </is>
      </c>
      <c r="C4">
        <f>IFERROR(VLOOKUP($A4,'Projects'!$A:$M,2,FALSE),"")</f>
        <v/>
      </c>
      <c r="D4" t="inlineStr"/>
      <c r="E4">
        <f>IFERROR(VLOOKUP($A4,'Projects'!$A:$M,9,FALSE),"")</f>
        <v/>
      </c>
      <c r="F4">
        <f>IFERROR(IF(F4="","",G4-F4),"")</f>
        <v/>
      </c>
      <c r="G4">
        <f>IFERROR(VLOOKUP($A4,'Projects'!$A:$M,10,FALSE),"")</f>
        <v/>
      </c>
      <c r="H4">
        <f>IFERROR(VLOOKUP($A4,'Projects'!$A:$M,11,FALSE),"")</f>
        <v/>
      </c>
      <c r="I4">
        <f>IFERROR(VLOOKUP($A4,'Projects'!$A:$M,7,FALSE),"")</f>
        <v/>
      </c>
      <c r="J4" t="inlineStr"/>
      <c r="K4" t="inlineStr"/>
      <c r="L4" t="inlineStr"/>
      <c r="M4" t="inlineStr"/>
      <c r="N4" t="inlineStr"/>
    </row>
    <row r="5">
      <c r="A5" t="inlineStr">
        <is>
          <t>P-004</t>
        </is>
      </c>
      <c r="B5" t="inlineStr">
        <is>
          <t>Project</t>
        </is>
      </c>
      <c r="C5">
        <f>IFERROR(VLOOKUP($A5,'Projects'!$A:$M,2,FALSE),"")</f>
        <v/>
      </c>
      <c r="D5" t="inlineStr"/>
      <c r="E5">
        <f>IFERROR(VLOOKUP($A5,'Projects'!$A:$M,9,FALSE),"")</f>
        <v/>
      </c>
      <c r="F5">
        <f>IFERROR(IF(F5="","",G5-F5),"")</f>
        <v/>
      </c>
      <c r="G5">
        <f>IFERROR(VLOOKUP($A5,'Projects'!$A:$M,10,FALSE),"")</f>
        <v/>
      </c>
      <c r="H5">
        <f>IFERROR(VLOOKUP($A5,'Projects'!$A:$M,11,FALSE),"")</f>
        <v/>
      </c>
      <c r="I5">
        <f>IFERROR(VLOOKUP($A5,'Projects'!$A:$M,7,FALSE),"")</f>
        <v/>
      </c>
      <c r="J5" t="inlineStr"/>
      <c r="K5" t="inlineStr"/>
      <c r="L5" t="inlineStr"/>
      <c r="M5" t="inlineStr"/>
      <c r="N5" t="inlineStr"/>
    </row>
    <row r="6">
      <c r="A6" t="inlineStr">
        <is>
          <t>P-005</t>
        </is>
      </c>
      <c r="B6" t="inlineStr">
        <is>
          <t>Project</t>
        </is>
      </c>
      <c r="C6">
        <f>IFERROR(VLOOKUP($A6,'Projects'!$A:$M,2,FALSE),"")</f>
        <v/>
      </c>
      <c r="D6" t="inlineStr"/>
      <c r="E6">
        <f>IFERROR(VLOOKUP($A6,'Projects'!$A:$M,9,FALSE),"")</f>
        <v/>
      </c>
      <c r="F6">
        <f>IFERROR(IF(F6="","",G6-F6),"")</f>
        <v/>
      </c>
      <c r="G6">
        <f>IFERROR(VLOOKUP($A6,'Projects'!$A:$M,10,FALSE),"")</f>
        <v/>
      </c>
      <c r="H6">
        <f>IFERROR(VLOOKUP($A6,'Projects'!$A:$M,11,FALSE),"")</f>
        <v/>
      </c>
      <c r="I6">
        <f>IFERROR(VLOOKUP($A6,'Projects'!$A:$M,7,FALSE),"")</f>
        <v/>
      </c>
      <c r="J6" t="inlineStr"/>
      <c r="K6" t="inlineStr"/>
      <c r="L6" t="inlineStr"/>
      <c r="M6" t="inlineStr"/>
      <c r="N6" t="inlineStr"/>
    </row>
    <row r="7">
      <c r="A7" t="inlineStr">
        <is>
          <t>P-006</t>
        </is>
      </c>
      <c r="B7" t="inlineStr">
        <is>
          <t>Project</t>
        </is>
      </c>
      <c r="C7">
        <f>IFERROR(VLOOKUP($A7,'Projects'!$A:$M,2,FALSE),"")</f>
        <v/>
      </c>
      <c r="D7" t="inlineStr"/>
      <c r="E7">
        <f>IFERROR(VLOOKUP($A7,'Projects'!$A:$M,9,FALSE),"")</f>
        <v/>
      </c>
      <c r="F7">
        <f>IFERROR(IF(F7="","",G7-F7),"")</f>
        <v/>
      </c>
      <c r="G7">
        <f>IFERROR(VLOOKUP($A7,'Projects'!$A:$M,10,FALSE),"")</f>
        <v/>
      </c>
      <c r="H7">
        <f>IFERROR(VLOOKUP($A7,'Projects'!$A:$M,11,FALSE),"")</f>
        <v/>
      </c>
      <c r="I7">
        <f>IFERROR(VLOOKUP($A7,'Projects'!$A:$M,7,FALSE),"")</f>
        <v/>
      </c>
      <c r="J7" t="inlineStr"/>
      <c r="K7" t="inlineStr"/>
      <c r="L7" t="inlineStr"/>
      <c r="M7" t="inlineStr"/>
      <c r="N7" t="inlineStr"/>
    </row>
    <row r="8">
      <c r="A8" t="inlineStr">
        <is>
          <t>T-001</t>
        </is>
      </c>
      <c r="B8" t="inlineStr">
        <is>
          <t>Task</t>
        </is>
      </c>
      <c r="C8">
        <f>IFERROR(VLOOKUP($A8,'Tasks'!$A:$N,3,FALSE),"")</f>
        <v/>
      </c>
      <c r="D8">
        <f>IFERROR(VLOOKUP($A8,'Tasks'!$A:$N,2,FALSE),"")</f>
        <v/>
      </c>
      <c r="E8">
        <f>IFERROR(VLOOKUP($A8,'Tasks'!$A:$N,9,FALSE),"")</f>
        <v/>
      </c>
      <c r="F8">
        <f>IFERROR(IF(F8="","",G8-F8),"")</f>
        <v/>
      </c>
      <c r="G8">
        <f>IFERROR(VLOOKUP($A8,'Tasks'!$A:$N,10,FALSE),"")</f>
        <v/>
      </c>
      <c r="H8">
        <f>IFERROR(VLOOKUP($A8,'Tasks'!$A:$N,11,FALSE),"")</f>
        <v/>
      </c>
      <c r="I8">
        <f>IFERROR(VLOOKUP($A8,'Tasks'!$A:$N,7,FALSE),"")</f>
        <v/>
      </c>
      <c r="J8" t="inlineStr"/>
      <c r="K8" t="inlineStr"/>
      <c r="L8" t="inlineStr"/>
      <c r="M8">
        <f>IFERROR(VLOOKUP($A8,'Tasks'!$A:$N,14,FALSE),"")</f>
        <v/>
      </c>
      <c r="N8" t="inlineStr"/>
    </row>
    <row r="9">
      <c r="A9" t="inlineStr">
        <is>
          <t>T-002</t>
        </is>
      </c>
      <c r="B9" t="inlineStr">
        <is>
          <t>Task</t>
        </is>
      </c>
      <c r="C9">
        <f>IFERROR(VLOOKUP($A9,'Tasks'!$A:$N,3,FALSE),"")</f>
        <v/>
      </c>
      <c r="D9">
        <f>IFERROR(VLOOKUP($A9,'Tasks'!$A:$N,2,FALSE),"")</f>
        <v/>
      </c>
      <c r="E9">
        <f>IFERROR(VLOOKUP($A9,'Tasks'!$A:$N,9,FALSE),"")</f>
        <v/>
      </c>
      <c r="F9">
        <f>IFERROR(IF(F9="","",G9-F9),"")</f>
        <v/>
      </c>
      <c r="G9">
        <f>IFERROR(VLOOKUP($A9,'Tasks'!$A:$N,10,FALSE),"")</f>
        <v/>
      </c>
      <c r="H9">
        <f>IFERROR(VLOOKUP($A9,'Tasks'!$A:$N,11,FALSE),"")</f>
        <v/>
      </c>
      <c r="I9">
        <f>IFERROR(VLOOKUP($A9,'Tasks'!$A:$N,7,FALSE),"")</f>
        <v/>
      </c>
      <c r="J9" t="inlineStr"/>
      <c r="K9" t="inlineStr"/>
      <c r="L9" t="inlineStr"/>
      <c r="M9">
        <f>IFERROR(VLOOKUP($A9,'Tasks'!$A:$N,14,FALSE),"")</f>
        <v/>
      </c>
      <c r="N9" t="inlineStr"/>
    </row>
    <row r="10">
      <c r="A10" t="inlineStr">
        <is>
          <t>T-003</t>
        </is>
      </c>
      <c r="B10" t="inlineStr">
        <is>
          <t>Task</t>
        </is>
      </c>
      <c r="C10">
        <f>IFERROR(VLOOKUP($A10,'Tasks'!$A:$N,3,FALSE),"")</f>
        <v/>
      </c>
      <c r="D10">
        <f>IFERROR(VLOOKUP($A10,'Tasks'!$A:$N,2,FALSE),"")</f>
        <v/>
      </c>
      <c r="E10">
        <f>IFERROR(VLOOKUP($A10,'Tasks'!$A:$N,9,FALSE),"")</f>
        <v/>
      </c>
      <c r="F10">
        <f>IFERROR(IF(F10="","",G10-F10),"")</f>
        <v/>
      </c>
      <c r="G10">
        <f>IFERROR(VLOOKUP($A10,'Tasks'!$A:$N,10,FALSE),"")</f>
        <v/>
      </c>
      <c r="H10">
        <f>IFERROR(VLOOKUP($A10,'Tasks'!$A:$N,11,FALSE),"")</f>
        <v/>
      </c>
      <c r="I10">
        <f>IFERROR(VLOOKUP($A10,'Tasks'!$A:$N,7,FALSE),"")</f>
        <v/>
      </c>
      <c r="J10" t="inlineStr"/>
      <c r="K10" t="inlineStr"/>
      <c r="L10" t="inlineStr"/>
      <c r="M10">
        <f>IFERROR(VLOOKUP($A10,'Tasks'!$A:$N,14,FALSE),"")</f>
        <v/>
      </c>
      <c r="N10" t="inlineStr"/>
    </row>
    <row r="11">
      <c r="A11" t="inlineStr">
        <is>
          <t>T-004</t>
        </is>
      </c>
      <c r="B11" t="inlineStr">
        <is>
          <t>Task</t>
        </is>
      </c>
      <c r="C11">
        <f>IFERROR(VLOOKUP($A11,'Tasks'!$A:$N,3,FALSE),"")</f>
        <v/>
      </c>
      <c r="D11">
        <f>IFERROR(VLOOKUP($A11,'Tasks'!$A:$N,2,FALSE),"")</f>
        <v/>
      </c>
      <c r="E11">
        <f>IFERROR(VLOOKUP($A11,'Tasks'!$A:$N,9,FALSE),"")</f>
        <v/>
      </c>
      <c r="F11">
        <f>IFERROR(IF(F11="","",G11-F11),"")</f>
        <v/>
      </c>
      <c r="G11">
        <f>IFERROR(VLOOKUP($A11,'Tasks'!$A:$N,10,FALSE),"")</f>
        <v/>
      </c>
      <c r="H11">
        <f>IFERROR(VLOOKUP($A11,'Tasks'!$A:$N,11,FALSE),"")</f>
        <v/>
      </c>
      <c r="I11">
        <f>IFERROR(VLOOKUP($A11,'Tasks'!$A:$N,7,FALSE),"")</f>
        <v/>
      </c>
      <c r="J11" t="inlineStr"/>
      <c r="K11" t="inlineStr"/>
      <c r="L11" t="inlineStr"/>
      <c r="M11">
        <f>IFERROR(VLOOKUP($A11,'Tasks'!$A:$N,14,FALSE),"")</f>
        <v/>
      </c>
      <c r="N11" t="inlineStr"/>
    </row>
    <row r="12">
      <c r="A12" t="inlineStr">
        <is>
          <t>T-005</t>
        </is>
      </c>
      <c r="B12" t="inlineStr">
        <is>
          <t>Task</t>
        </is>
      </c>
      <c r="C12">
        <f>IFERROR(VLOOKUP($A12,'Tasks'!$A:$N,3,FALSE),"")</f>
        <v/>
      </c>
      <c r="D12">
        <f>IFERROR(VLOOKUP($A12,'Tasks'!$A:$N,2,FALSE),"")</f>
        <v/>
      </c>
      <c r="E12">
        <f>IFERROR(VLOOKUP($A12,'Tasks'!$A:$N,9,FALSE),"")</f>
        <v/>
      </c>
      <c r="F12">
        <f>IFERROR(IF(F12="","",G12-F12),"")</f>
        <v/>
      </c>
      <c r="G12">
        <f>IFERROR(VLOOKUP($A12,'Tasks'!$A:$N,10,FALSE),"")</f>
        <v/>
      </c>
      <c r="H12">
        <f>IFERROR(VLOOKUP($A12,'Tasks'!$A:$N,11,FALSE),"")</f>
        <v/>
      </c>
      <c r="I12">
        <f>IFERROR(VLOOKUP($A12,'Tasks'!$A:$N,7,FALSE),"")</f>
        <v/>
      </c>
      <c r="J12" t="inlineStr"/>
      <c r="K12" t="inlineStr"/>
      <c r="L12" t="inlineStr"/>
      <c r="M12">
        <f>IFERROR(VLOOKUP($A12,'Tasks'!$A:$N,14,FALSE),"")</f>
        <v/>
      </c>
      <c r="N12" t="inlineStr"/>
    </row>
    <row r="13">
      <c r="A13" t="inlineStr">
        <is>
          <t>T-006</t>
        </is>
      </c>
      <c r="B13" t="inlineStr">
        <is>
          <t>Task</t>
        </is>
      </c>
      <c r="C13">
        <f>IFERROR(VLOOKUP($A13,'Tasks'!$A:$N,3,FALSE),"")</f>
        <v/>
      </c>
      <c r="D13">
        <f>IFERROR(VLOOKUP($A13,'Tasks'!$A:$N,2,FALSE),"")</f>
        <v/>
      </c>
      <c r="E13">
        <f>IFERROR(VLOOKUP($A13,'Tasks'!$A:$N,9,FALSE),"")</f>
        <v/>
      </c>
      <c r="F13">
        <f>IFERROR(IF(F13="","",G13-F13),"")</f>
        <v/>
      </c>
      <c r="G13">
        <f>IFERROR(VLOOKUP($A13,'Tasks'!$A:$N,10,FALSE),"")</f>
        <v/>
      </c>
      <c r="H13">
        <f>IFERROR(VLOOKUP($A13,'Tasks'!$A:$N,11,FALSE),"")</f>
        <v/>
      </c>
      <c r="I13">
        <f>IFERROR(VLOOKUP($A13,'Tasks'!$A:$N,7,FALSE),"")</f>
        <v/>
      </c>
      <c r="J13" t="inlineStr"/>
      <c r="K13" t="inlineStr"/>
      <c r="L13" t="inlineStr"/>
      <c r="M13">
        <f>IFERROR(VLOOKUP($A13,'Tasks'!$A:$N,14,FALSE),"")</f>
        <v/>
      </c>
      <c r="N13" t="inlineStr"/>
    </row>
    <row r="14">
      <c r="A14" t="inlineStr">
        <is>
          <t>T-007</t>
        </is>
      </c>
      <c r="B14" t="inlineStr">
        <is>
          <t>Task</t>
        </is>
      </c>
      <c r="C14">
        <f>IFERROR(VLOOKUP($A14,'Tasks'!$A:$N,3,FALSE),"")</f>
        <v/>
      </c>
      <c r="D14">
        <f>IFERROR(VLOOKUP($A14,'Tasks'!$A:$N,2,FALSE),"")</f>
        <v/>
      </c>
      <c r="E14">
        <f>IFERROR(VLOOKUP($A14,'Tasks'!$A:$N,9,FALSE),"")</f>
        <v/>
      </c>
      <c r="F14">
        <f>IFERROR(IF(F14="","",G14-F14),"")</f>
        <v/>
      </c>
      <c r="G14">
        <f>IFERROR(VLOOKUP($A14,'Tasks'!$A:$N,10,FALSE),"")</f>
        <v/>
      </c>
      <c r="H14">
        <f>IFERROR(VLOOKUP($A14,'Tasks'!$A:$N,11,FALSE),"")</f>
        <v/>
      </c>
      <c r="I14">
        <f>IFERROR(VLOOKUP($A14,'Tasks'!$A:$N,7,FALSE),"")</f>
        <v/>
      </c>
      <c r="J14" t="inlineStr"/>
      <c r="K14" t="inlineStr"/>
      <c r="L14" t="inlineStr"/>
      <c r="M14">
        <f>IFERROR(VLOOKUP($A14,'Tasks'!$A:$N,14,FALSE),"")</f>
        <v/>
      </c>
      <c r="N14" t="inlineStr"/>
    </row>
    <row r="15">
      <c r="A15" t="inlineStr">
        <is>
          <t>T-008</t>
        </is>
      </c>
      <c r="B15" t="inlineStr">
        <is>
          <t>Task</t>
        </is>
      </c>
      <c r="C15">
        <f>IFERROR(VLOOKUP($A15,'Tasks'!$A:$N,3,FALSE),"")</f>
        <v/>
      </c>
      <c r="D15">
        <f>IFERROR(VLOOKUP($A15,'Tasks'!$A:$N,2,FALSE),"")</f>
        <v/>
      </c>
      <c r="E15">
        <f>IFERROR(VLOOKUP($A15,'Tasks'!$A:$N,9,FALSE),"")</f>
        <v/>
      </c>
      <c r="F15">
        <f>IFERROR(IF(F15="","",G15-F15),"")</f>
        <v/>
      </c>
      <c r="G15">
        <f>IFERROR(VLOOKUP($A15,'Tasks'!$A:$N,10,FALSE),"")</f>
        <v/>
      </c>
      <c r="H15">
        <f>IFERROR(VLOOKUP($A15,'Tasks'!$A:$N,11,FALSE),"")</f>
        <v/>
      </c>
      <c r="I15">
        <f>IFERROR(VLOOKUP($A15,'Tasks'!$A:$N,7,FALSE),"")</f>
        <v/>
      </c>
      <c r="J15" t="inlineStr"/>
      <c r="K15" t="inlineStr"/>
      <c r="L15" t="inlineStr"/>
      <c r="M15">
        <f>IFERROR(VLOOKUP($A15,'Tasks'!$A:$N,14,FALSE),"")</f>
        <v/>
      </c>
      <c r="N15" t="inlineStr"/>
    </row>
    <row r="16">
      <c r="A16" t="inlineStr">
        <is>
          <t>T-009</t>
        </is>
      </c>
      <c r="B16" t="inlineStr">
        <is>
          <t>Task</t>
        </is>
      </c>
      <c r="C16">
        <f>IFERROR(VLOOKUP($A16,'Tasks'!$A:$N,3,FALSE),"")</f>
        <v/>
      </c>
      <c r="D16">
        <f>IFERROR(VLOOKUP($A16,'Tasks'!$A:$N,2,FALSE),"")</f>
        <v/>
      </c>
      <c r="E16">
        <f>IFERROR(VLOOKUP($A16,'Tasks'!$A:$N,9,FALSE),"")</f>
        <v/>
      </c>
      <c r="F16">
        <f>IFERROR(IF(F16="","",G16-F16),"")</f>
        <v/>
      </c>
      <c r="G16">
        <f>IFERROR(VLOOKUP($A16,'Tasks'!$A:$N,10,FALSE),"")</f>
        <v/>
      </c>
      <c r="H16">
        <f>IFERROR(VLOOKUP($A16,'Tasks'!$A:$N,11,FALSE),"")</f>
        <v/>
      </c>
      <c r="I16">
        <f>IFERROR(VLOOKUP($A16,'Tasks'!$A:$N,7,FALSE),"")</f>
        <v/>
      </c>
      <c r="J16" t="inlineStr"/>
      <c r="K16" t="inlineStr"/>
      <c r="L16" t="inlineStr"/>
      <c r="M16">
        <f>IFERROR(VLOOKUP($A16,'Tasks'!$A:$N,14,FALSE),"")</f>
        <v/>
      </c>
      <c r="N16" t="inlineStr"/>
    </row>
    <row r="17">
      <c r="A17" t="inlineStr">
        <is>
          <t>T-010</t>
        </is>
      </c>
      <c r="B17" t="inlineStr">
        <is>
          <t>Task</t>
        </is>
      </c>
      <c r="C17">
        <f>IFERROR(VLOOKUP($A17,'Tasks'!$A:$N,3,FALSE),"")</f>
        <v/>
      </c>
      <c r="D17">
        <f>IFERROR(VLOOKUP($A17,'Tasks'!$A:$N,2,FALSE),"")</f>
        <v/>
      </c>
      <c r="E17">
        <f>IFERROR(VLOOKUP($A17,'Tasks'!$A:$N,9,FALSE),"")</f>
        <v/>
      </c>
      <c r="F17">
        <f>IFERROR(IF(F17="","",G17-F17),"")</f>
        <v/>
      </c>
      <c r="G17">
        <f>IFERROR(VLOOKUP($A17,'Tasks'!$A:$N,10,FALSE),"")</f>
        <v/>
      </c>
      <c r="H17">
        <f>IFERROR(VLOOKUP($A17,'Tasks'!$A:$N,11,FALSE),"")</f>
        <v/>
      </c>
      <c r="I17">
        <f>IFERROR(VLOOKUP($A17,'Tasks'!$A:$N,7,FALSE),"")</f>
        <v/>
      </c>
      <c r="J17" t="inlineStr"/>
      <c r="K17" t="inlineStr"/>
      <c r="L17" t="inlineStr"/>
      <c r="M17">
        <f>IFERROR(VLOOKUP($A17,'Tasks'!$A:$N,14,FALSE),"")</f>
        <v/>
      </c>
      <c r="N17" t="inlineStr"/>
    </row>
    <row r="18">
      <c r="A18" t="inlineStr">
        <is>
          <t>T-011</t>
        </is>
      </c>
      <c r="B18" t="inlineStr">
        <is>
          <t>Task</t>
        </is>
      </c>
      <c r="C18">
        <f>IFERROR(VLOOKUP($A18,'Tasks'!$A:$N,3,FALSE),"")</f>
        <v/>
      </c>
      <c r="D18">
        <f>IFERROR(VLOOKUP($A18,'Tasks'!$A:$N,2,FALSE),"")</f>
        <v/>
      </c>
      <c r="E18">
        <f>IFERROR(VLOOKUP($A18,'Tasks'!$A:$N,9,FALSE),"")</f>
        <v/>
      </c>
      <c r="F18">
        <f>IFERROR(IF(F18="","",G18-F18),"")</f>
        <v/>
      </c>
      <c r="G18">
        <f>IFERROR(VLOOKUP($A18,'Tasks'!$A:$N,10,FALSE),"")</f>
        <v/>
      </c>
      <c r="H18">
        <f>IFERROR(VLOOKUP($A18,'Tasks'!$A:$N,11,FALSE),"")</f>
        <v/>
      </c>
      <c r="I18">
        <f>IFERROR(VLOOKUP($A18,'Tasks'!$A:$N,7,FALSE),"")</f>
        <v/>
      </c>
      <c r="J18" t="inlineStr"/>
      <c r="K18" t="inlineStr"/>
      <c r="L18" t="inlineStr"/>
      <c r="M18">
        <f>IFERROR(VLOOKUP($A18,'Tasks'!$A:$N,14,FALSE),"")</f>
        <v/>
      </c>
      <c r="N18" t="inlineStr"/>
    </row>
    <row r="19">
      <c r="A19" t="inlineStr">
        <is>
          <t>T-012</t>
        </is>
      </c>
      <c r="B19" t="inlineStr">
        <is>
          <t>Task</t>
        </is>
      </c>
      <c r="C19">
        <f>IFERROR(VLOOKUP($A19,'Tasks'!$A:$N,3,FALSE),"")</f>
        <v/>
      </c>
      <c r="D19">
        <f>IFERROR(VLOOKUP($A19,'Tasks'!$A:$N,2,FALSE),"")</f>
        <v/>
      </c>
      <c r="E19">
        <f>IFERROR(VLOOKUP($A19,'Tasks'!$A:$N,9,FALSE),"")</f>
        <v/>
      </c>
      <c r="F19">
        <f>IFERROR(IF(F19="","",G19-F19),"")</f>
        <v/>
      </c>
      <c r="G19">
        <f>IFERROR(VLOOKUP($A19,'Tasks'!$A:$N,10,FALSE),"")</f>
        <v/>
      </c>
      <c r="H19">
        <f>IFERROR(VLOOKUP($A19,'Tasks'!$A:$N,11,FALSE),"")</f>
        <v/>
      </c>
      <c r="I19">
        <f>IFERROR(VLOOKUP($A19,'Tasks'!$A:$N,7,FALSE),"")</f>
        <v/>
      </c>
      <c r="J19" t="inlineStr"/>
      <c r="K19" t="inlineStr"/>
      <c r="L19" t="inlineStr"/>
      <c r="M19">
        <f>IFERROR(VLOOKUP($A19,'Tasks'!$A:$N,14,FALSE),"")</f>
        <v/>
      </c>
      <c r="N19" t="inlineStr"/>
    </row>
    <row r="20">
      <c r="A20" t="inlineStr">
        <is>
          <t>T-013</t>
        </is>
      </c>
      <c r="B20" t="inlineStr">
        <is>
          <t>Task</t>
        </is>
      </c>
      <c r="C20">
        <f>IFERROR(VLOOKUP($A20,'Tasks'!$A:$N,3,FALSE),"")</f>
        <v/>
      </c>
      <c r="D20">
        <f>IFERROR(VLOOKUP($A20,'Tasks'!$A:$N,2,FALSE),"")</f>
        <v/>
      </c>
      <c r="E20">
        <f>IFERROR(VLOOKUP($A20,'Tasks'!$A:$N,9,FALSE),"")</f>
        <v/>
      </c>
      <c r="F20">
        <f>IFERROR(IF(F20="","",G20-F20),"")</f>
        <v/>
      </c>
      <c r="G20">
        <f>IFERROR(VLOOKUP($A20,'Tasks'!$A:$N,10,FALSE),"")</f>
        <v/>
      </c>
      <c r="H20">
        <f>IFERROR(VLOOKUP($A20,'Tasks'!$A:$N,11,FALSE),"")</f>
        <v/>
      </c>
      <c r="I20">
        <f>IFERROR(VLOOKUP($A20,'Tasks'!$A:$N,7,FALSE),"")</f>
        <v/>
      </c>
      <c r="J20" t="inlineStr"/>
      <c r="K20" t="inlineStr"/>
      <c r="L20" t="inlineStr"/>
      <c r="M20">
        <f>IFERROR(VLOOKUP($A20,'Tasks'!$A:$N,14,FALSE),"")</f>
        <v/>
      </c>
      <c r="N20" t="inlineStr"/>
    </row>
    <row r="21">
      <c r="A21" t="inlineStr">
        <is>
          <t>T-014</t>
        </is>
      </c>
      <c r="B21" t="inlineStr">
        <is>
          <t>Task</t>
        </is>
      </c>
      <c r="C21">
        <f>IFERROR(VLOOKUP($A21,'Tasks'!$A:$N,3,FALSE),"")</f>
        <v/>
      </c>
      <c r="D21">
        <f>IFERROR(VLOOKUP($A21,'Tasks'!$A:$N,2,FALSE),"")</f>
        <v/>
      </c>
      <c r="E21">
        <f>IFERROR(VLOOKUP($A21,'Tasks'!$A:$N,9,FALSE),"")</f>
        <v/>
      </c>
      <c r="F21">
        <f>IFERROR(IF(F21="","",G21-F21),"")</f>
        <v/>
      </c>
      <c r="G21">
        <f>IFERROR(VLOOKUP($A21,'Tasks'!$A:$N,10,FALSE),"")</f>
        <v/>
      </c>
      <c r="H21">
        <f>IFERROR(VLOOKUP($A21,'Tasks'!$A:$N,11,FALSE),"")</f>
        <v/>
      </c>
      <c r="I21">
        <f>IFERROR(VLOOKUP($A21,'Tasks'!$A:$N,7,FALSE),"")</f>
        <v/>
      </c>
      <c r="J21" t="inlineStr"/>
      <c r="K21" t="inlineStr"/>
      <c r="L21" t="inlineStr"/>
      <c r="M21">
        <f>IFERROR(VLOOKUP($A21,'Tasks'!$A:$N,14,FALSE),"")</f>
        <v/>
      </c>
      <c r="N21" t="inlineStr"/>
    </row>
    <row r="22">
      <c r="A22" t="inlineStr">
        <is>
          <t>T-015</t>
        </is>
      </c>
      <c r="B22" t="inlineStr">
        <is>
          <t>Task</t>
        </is>
      </c>
      <c r="C22">
        <f>IFERROR(VLOOKUP($A22,'Tasks'!$A:$N,3,FALSE),"")</f>
        <v/>
      </c>
      <c r="D22">
        <f>IFERROR(VLOOKUP($A22,'Tasks'!$A:$N,2,FALSE),"")</f>
        <v/>
      </c>
      <c r="E22">
        <f>IFERROR(VLOOKUP($A22,'Tasks'!$A:$N,9,FALSE),"")</f>
        <v/>
      </c>
      <c r="F22">
        <f>IFERROR(IF(F22="","",G22-F22),"")</f>
        <v/>
      </c>
      <c r="G22">
        <f>IFERROR(VLOOKUP($A22,'Tasks'!$A:$N,10,FALSE),"")</f>
        <v/>
      </c>
      <c r="H22">
        <f>IFERROR(VLOOKUP($A22,'Tasks'!$A:$N,11,FALSE),"")</f>
        <v/>
      </c>
      <c r="I22">
        <f>IFERROR(VLOOKUP($A22,'Tasks'!$A:$N,7,FALSE),"")</f>
        <v/>
      </c>
      <c r="J22" t="inlineStr"/>
      <c r="K22" t="inlineStr"/>
      <c r="L22" t="inlineStr"/>
      <c r="M22">
        <f>IFERROR(VLOOKUP($A22,'Tasks'!$A:$N,14,FALSE),"")</f>
        <v/>
      </c>
      <c r="N22" t="inlineStr"/>
    </row>
    <row r="23">
      <c r="A23" t="inlineStr">
        <is>
          <t>T-016</t>
        </is>
      </c>
      <c r="B23" t="inlineStr">
        <is>
          <t>Task</t>
        </is>
      </c>
      <c r="C23">
        <f>IFERROR(VLOOKUP($A23,'Tasks'!$A:$N,3,FALSE),"")</f>
        <v/>
      </c>
      <c r="D23">
        <f>IFERROR(VLOOKUP($A23,'Tasks'!$A:$N,2,FALSE),"")</f>
        <v/>
      </c>
      <c r="E23">
        <f>IFERROR(VLOOKUP($A23,'Tasks'!$A:$N,9,FALSE),"")</f>
        <v/>
      </c>
      <c r="F23">
        <f>IFERROR(IF(F23="","",G23-F23),"")</f>
        <v/>
      </c>
      <c r="G23">
        <f>IFERROR(VLOOKUP($A23,'Tasks'!$A:$N,10,FALSE),"")</f>
        <v/>
      </c>
      <c r="H23">
        <f>IFERROR(VLOOKUP($A23,'Tasks'!$A:$N,11,FALSE),"")</f>
        <v/>
      </c>
      <c r="I23">
        <f>IFERROR(VLOOKUP($A23,'Tasks'!$A:$N,7,FALSE),"")</f>
        <v/>
      </c>
      <c r="J23" t="inlineStr"/>
      <c r="K23" t="inlineStr"/>
      <c r="L23" t="inlineStr"/>
      <c r="M23">
        <f>IFERROR(VLOOKUP($A23,'Tasks'!$A:$N,14,FALSE),"")</f>
        <v/>
      </c>
      <c r="N23" t="inlineStr"/>
    </row>
    <row r="24">
      <c r="A24" t="inlineStr">
        <is>
          <t>T-017</t>
        </is>
      </c>
      <c r="B24" t="inlineStr">
        <is>
          <t>Task</t>
        </is>
      </c>
      <c r="C24">
        <f>IFERROR(VLOOKUP($A24,'Tasks'!$A:$N,3,FALSE),"")</f>
        <v/>
      </c>
      <c r="D24">
        <f>IFERROR(VLOOKUP($A24,'Tasks'!$A:$N,2,FALSE),"")</f>
        <v/>
      </c>
      <c r="E24">
        <f>IFERROR(VLOOKUP($A24,'Tasks'!$A:$N,9,FALSE),"")</f>
        <v/>
      </c>
      <c r="F24">
        <f>IFERROR(IF(F24="","",G24-F24),"")</f>
        <v/>
      </c>
      <c r="G24">
        <f>IFERROR(VLOOKUP($A24,'Tasks'!$A:$N,10,FALSE),"")</f>
        <v/>
      </c>
      <c r="H24">
        <f>IFERROR(VLOOKUP($A24,'Tasks'!$A:$N,11,FALSE),"")</f>
        <v/>
      </c>
      <c r="I24">
        <f>IFERROR(VLOOKUP($A24,'Tasks'!$A:$N,7,FALSE),"")</f>
        <v/>
      </c>
      <c r="J24" t="inlineStr"/>
      <c r="K24" t="inlineStr"/>
      <c r="L24" t="inlineStr"/>
      <c r="M24">
        <f>IFERROR(VLOOKUP($A24,'Tasks'!$A:$N,14,FALSE),"")</f>
        <v/>
      </c>
      <c r="N24" t="inlineStr"/>
    </row>
    <row r="25">
      <c r="A25" t="inlineStr">
        <is>
          <t>D-001</t>
        </is>
      </c>
      <c r="B25" t="inlineStr">
        <is>
          <t>Deliverable</t>
        </is>
      </c>
      <c r="C25">
        <f>IFERROR(VLOOKUP($A25,'Deliverables'!$A:$K,3,FALSE),"")</f>
        <v/>
      </c>
      <c r="D25">
        <f>IFERROR(VLOOKUP($A25,'Deliverables'!$A:$K,2,FALSE),"")</f>
        <v/>
      </c>
      <c r="E25">
        <f>IFERROR(VLOOKUP($A25,'Deliverables'!$A:$K,6,FALSE),"")</f>
        <v/>
      </c>
      <c r="F25">
        <f>IFERROR(IF(F25="","",G25-F25),"")</f>
        <v/>
      </c>
      <c r="G25">
        <f>IFERROR(VLOOKUP($A25,'Deliverables'!$A:$K,7,FALSE),"")</f>
        <v/>
      </c>
      <c r="H25">
        <f>IFERROR(VLOOKUP($A25,'Deliverables'!$A:$K,8,FALSE),"")</f>
        <v/>
      </c>
      <c r="I25">
        <f>IFERROR(VLOOKUP($A25,'Deliverables'!$A:$K,5,FALSE),"")</f>
        <v/>
      </c>
      <c r="J25">
        <f>IFERROR(VLOOKUP($A25,'Deliverables'!$A:$K,9,FALSE),"")</f>
        <v/>
      </c>
      <c r="K25">
        <f>IFERROR(VLOOKUP($A25,'Deliverables'!$A:$K,10,FALSE),"")</f>
        <v/>
      </c>
      <c r="L25">
        <f>IFERROR(VLOOKUP($A25,'Deliverables'!$A:$K,11,FALSE),"")</f>
        <v/>
      </c>
      <c r="M25" t="inlineStr"/>
      <c r="N25" t="inlineStr"/>
    </row>
    <row r="26">
      <c r="A26" t="inlineStr">
        <is>
          <t>D-002</t>
        </is>
      </c>
      <c r="B26" t="inlineStr">
        <is>
          <t>Deliverable</t>
        </is>
      </c>
      <c r="C26">
        <f>IFERROR(VLOOKUP($A26,'Deliverables'!$A:$K,3,FALSE),"")</f>
        <v/>
      </c>
      <c r="D26">
        <f>IFERROR(VLOOKUP($A26,'Deliverables'!$A:$K,2,FALSE),"")</f>
        <v/>
      </c>
      <c r="E26">
        <f>IFERROR(VLOOKUP($A26,'Deliverables'!$A:$K,6,FALSE),"")</f>
        <v/>
      </c>
      <c r="F26">
        <f>IFERROR(IF(F26="","",G26-F26),"")</f>
        <v/>
      </c>
      <c r="G26">
        <f>IFERROR(VLOOKUP($A26,'Deliverables'!$A:$K,7,FALSE),"")</f>
        <v/>
      </c>
      <c r="H26">
        <f>IFERROR(VLOOKUP($A26,'Deliverables'!$A:$K,8,FALSE),"")</f>
        <v/>
      </c>
      <c r="I26">
        <f>IFERROR(VLOOKUP($A26,'Deliverables'!$A:$K,5,FALSE),"")</f>
        <v/>
      </c>
      <c r="J26">
        <f>IFERROR(VLOOKUP($A26,'Deliverables'!$A:$K,9,FALSE),"")</f>
        <v/>
      </c>
      <c r="K26">
        <f>IFERROR(VLOOKUP($A26,'Deliverables'!$A:$K,10,FALSE),"")</f>
        <v/>
      </c>
      <c r="L26">
        <f>IFERROR(VLOOKUP($A26,'Deliverables'!$A:$K,11,FALSE),"")</f>
        <v/>
      </c>
      <c r="M26" t="inlineStr"/>
      <c r="N26" t="inlineStr"/>
    </row>
    <row r="27">
      <c r="A27" t="inlineStr">
        <is>
          <t>D-003</t>
        </is>
      </c>
      <c r="B27" t="inlineStr">
        <is>
          <t>Deliverable</t>
        </is>
      </c>
      <c r="C27">
        <f>IFERROR(VLOOKUP($A27,'Deliverables'!$A:$K,3,FALSE),"")</f>
        <v/>
      </c>
      <c r="D27">
        <f>IFERROR(VLOOKUP($A27,'Deliverables'!$A:$K,2,FALSE),"")</f>
        <v/>
      </c>
      <c r="E27">
        <f>IFERROR(VLOOKUP($A27,'Deliverables'!$A:$K,6,FALSE),"")</f>
        <v/>
      </c>
      <c r="F27">
        <f>IFERROR(IF(F27="","",G27-F27),"")</f>
        <v/>
      </c>
      <c r="G27">
        <f>IFERROR(VLOOKUP($A27,'Deliverables'!$A:$K,7,FALSE),"")</f>
        <v/>
      </c>
      <c r="H27">
        <f>IFERROR(VLOOKUP($A27,'Deliverables'!$A:$K,8,FALSE),"")</f>
        <v/>
      </c>
      <c r="I27">
        <f>IFERROR(VLOOKUP($A27,'Deliverables'!$A:$K,5,FALSE),"")</f>
        <v/>
      </c>
      <c r="J27">
        <f>IFERROR(VLOOKUP($A27,'Deliverables'!$A:$K,9,FALSE),"")</f>
        <v/>
      </c>
      <c r="K27">
        <f>IFERROR(VLOOKUP($A27,'Deliverables'!$A:$K,10,FALSE),"")</f>
        <v/>
      </c>
      <c r="L27">
        <f>IFERROR(VLOOKUP($A27,'Deliverables'!$A:$K,11,FALSE),"")</f>
        <v/>
      </c>
      <c r="M27" t="inlineStr"/>
      <c r="N27" t="inlineStr"/>
    </row>
    <row r="28">
      <c r="A28" t="inlineStr">
        <is>
          <t>D-004</t>
        </is>
      </c>
      <c r="B28" t="inlineStr">
        <is>
          <t>Deliverable</t>
        </is>
      </c>
      <c r="C28">
        <f>IFERROR(VLOOKUP($A28,'Deliverables'!$A:$K,3,FALSE),"")</f>
        <v/>
      </c>
      <c r="D28">
        <f>IFERROR(VLOOKUP($A28,'Deliverables'!$A:$K,2,FALSE),"")</f>
        <v/>
      </c>
      <c r="E28">
        <f>IFERROR(VLOOKUP($A28,'Deliverables'!$A:$K,6,FALSE),"")</f>
        <v/>
      </c>
      <c r="F28">
        <f>IFERROR(IF(F28="","",G28-F28),"")</f>
        <v/>
      </c>
      <c r="G28">
        <f>IFERROR(VLOOKUP($A28,'Deliverables'!$A:$K,7,FALSE),"")</f>
        <v/>
      </c>
      <c r="H28">
        <f>IFERROR(VLOOKUP($A28,'Deliverables'!$A:$K,8,FALSE),"")</f>
        <v/>
      </c>
      <c r="I28">
        <f>IFERROR(VLOOKUP($A28,'Deliverables'!$A:$K,5,FALSE),"")</f>
        <v/>
      </c>
      <c r="J28">
        <f>IFERROR(VLOOKUP($A28,'Deliverables'!$A:$K,9,FALSE),"")</f>
        <v/>
      </c>
      <c r="K28">
        <f>IFERROR(VLOOKUP($A28,'Deliverables'!$A:$K,10,FALSE),"")</f>
        <v/>
      </c>
      <c r="L28">
        <f>IFERROR(VLOOKUP($A28,'Deliverables'!$A:$K,11,FALSE),"")</f>
        <v/>
      </c>
      <c r="M28" t="inlineStr"/>
      <c r="N28" t="inlineStr"/>
    </row>
    <row r="29">
      <c r="A29" t="inlineStr">
        <is>
          <t>D-005</t>
        </is>
      </c>
      <c r="B29" t="inlineStr">
        <is>
          <t>Deliverable</t>
        </is>
      </c>
      <c r="C29">
        <f>IFERROR(VLOOKUP($A29,'Deliverables'!$A:$K,3,FALSE),"")</f>
        <v/>
      </c>
      <c r="D29">
        <f>IFERROR(VLOOKUP($A29,'Deliverables'!$A:$K,2,FALSE),"")</f>
        <v/>
      </c>
      <c r="E29">
        <f>IFERROR(VLOOKUP($A29,'Deliverables'!$A:$K,6,FALSE),"")</f>
        <v/>
      </c>
      <c r="F29">
        <f>IFERROR(IF(F29="","",G29-F29),"")</f>
        <v/>
      </c>
      <c r="G29">
        <f>IFERROR(VLOOKUP($A29,'Deliverables'!$A:$K,7,FALSE),"")</f>
        <v/>
      </c>
      <c r="H29">
        <f>IFERROR(VLOOKUP($A29,'Deliverables'!$A:$K,8,FALSE),"")</f>
        <v/>
      </c>
      <c r="I29">
        <f>IFERROR(VLOOKUP($A29,'Deliverables'!$A:$K,5,FALSE),"")</f>
        <v/>
      </c>
      <c r="J29">
        <f>IFERROR(VLOOKUP($A29,'Deliverables'!$A:$K,9,FALSE),"")</f>
        <v/>
      </c>
      <c r="K29">
        <f>IFERROR(VLOOKUP($A29,'Deliverables'!$A:$K,10,FALSE),"")</f>
        <v/>
      </c>
      <c r="L29">
        <f>IFERROR(VLOOKUP($A29,'Deliverables'!$A:$K,11,FALSE),"")</f>
        <v/>
      </c>
      <c r="M29" t="inlineStr"/>
      <c r="N29" t="inlineStr"/>
    </row>
    <row r="30">
      <c r="A30" t="inlineStr">
        <is>
          <t>D-006</t>
        </is>
      </c>
      <c r="B30" t="inlineStr">
        <is>
          <t>Deliverable</t>
        </is>
      </c>
      <c r="C30">
        <f>IFERROR(VLOOKUP($A30,'Deliverables'!$A:$K,3,FALSE),"")</f>
        <v/>
      </c>
      <c r="D30">
        <f>IFERROR(VLOOKUP($A30,'Deliverables'!$A:$K,2,FALSE),"")</f>
        <v/>
      </c>
      <c r="E30">
        <f>IFERROR(VLOOKUP($A30,'Deliverables'!$A:$K,6,FALSE),"")</f>
        <v/>
      </c>
      <c r="F30">
        <f>IFERROR(IF(F30="","",G30-F30),"")</f>
        <v/>
      </c>
      <c r="G30">
        <f>IFERROR(VLOOKUP($A30,'Deliverables'!$A:$K,7,FALSE),"")</f>
        <v/>
      </c>
      <c r="H30">
        <f>IFERROR(VLOOKUP($A30,'Deliverables'!$A:$K,8,FALSE),"")</f>
        <v/>
      </c>
      <c r="I30">
        <f>IFERROR(VLOOKUP($A30,'Deliverables'!$A:$K,5,FALSE),"")</f>
        <v/>
      </c>
      <c r="J30">
        <f>IFERROR(VLOOKUP($A30,'Deliverables'!$A:$K,9,FALSE),"")</f>
        <v/>
      </c>
      <c r="K30">
        <f>IFERROR(VLOOKUP($A30,'Deliverables'!$A:$K,10,FALSE),"")</f>
        <v/>
      </c>
      <c r="L30">
        <f>IFERROR(VLOOKUP($A30,'Deliverables'!$A:$K,11,FALSE),"")</f>
        <v/>
      </c>
      <c r="M30" t="inlineStr"/>
      <c r="N30" t="inlineStr"/>
    </row>
    <row r="31">
      <c r="A31" t="inlineStr">
        <is>
          <t>D-007</t>
        </is>
      </c>
      <c r="B31" t="inlineStr">
        <is>
          <t>Deliverable</t>
        </is>
      </c>
      <c r="C31">
        <f>IFERROR(VLOOKUP($A31,'Deliverables'!$A:$K,3,FALSE),"")</f>
        <v/>
      </c>
      <c r="D31">
        <f>IFERROR(VLOOKUP($A31,'Deliverables'!$A:$K,2,FALSE),"")</f>
        <v/>
      </c>
      <c r="E31">
        <f>IFERROR(VLOOKUP($A31,'Deliverables'!$A:$K,6,FALSE),"")</f>
        <v/>
      </c>
      <c r="F31">
        <f>IFERROR(IF(F31="","",G31-F31),"")</f>
        <v/>
      </c>
      <c r="G31">
        <f>IFERROR(VLOOKUP($A31,'Deliverables'!$A:$K,7,FALSE),"")</f>
        <v/>
      </c>
      <c r="H31">
        <f>IFERROR(VLOOKUP($A31,'Deliverables'!$A:$K,8,FALSE),"")</f>
        <v/>
      </c>
      <c r="I31">
        <f>IFERROR(VLOOKUP($A31,'Deliverables'!$A:$K,5,FALSE),"")</f>
        <v/>
      </c>
      <c r="J31">
        <f>IFERROR(VLOOKUP($A31,'Deliverables'!$A:$K,9,FALSE),"")</f>
        <v/>
      </c>
      <c r="K31">
        <f>IFERROR(VLOOKUP($A31,'Deliverables'!$A:$K,10,FALSE),"")</f>
        <v/>
      </c>
      <c r="L31">
        <f>IFERROR(VLOOKUP($A31,'Deliverables'!$A:$K,11,FALSE),"")</f>
        <v/>
      </c>
      <c r="M31" t="inlineStr"/>
      <c r="N31" t="inlineStr"/>
    </row>
    <row r="32">
      <c r="A32" t="inlineStr">
        <is>
          <t>D-008</t>
        </is>
      </c>
      <c r="B32" t="inlineStr">
        <is>
          <t>Deliverable</t>
        </is>
      </c>
      <c r="C32">
        <f>IFERROR(VLOOKUP($A32,'Deliverables'!$A:$K,3,FALSE),"")</f>
        <v/>
      </c>
      <c r="D32">
        <f>IFERROR(VLOOKUP($A32,'Deliverables'!$A:$K,2,FALSE),"")</f>
        <v/>
      </c>
      <c r="E32">
        <f>IFERROR(VLOOKUP($A32,'Deliverables'!$A:$K,6,FALSE),"")</f>
        <v/>
      </c>
      <c r="F32">
        <f>IFERROR(IF(F32="","",G32-F32),"")</f>
        <v/>
      </c>
      <c r="G32">
        <f>IFERROR(VLOOKUP($A32,'Deliverables'!$A:$K,7,FALSE),"")</f>
        <v/>
      </c>
      <c r="H32">
        <f>IFERROR(VLOOKUP($A32,'Deliverables'!$A:$K,8,FALSE),"")</f>
        <v/>
      </c>
      <c r="I32">
        <f>IFERROR(VLOOKUP($A32,'Deliverables'!$A:$K,5,FALSE),"")</f>
        <v/>
      </c>
      <c r="J32">
        <f>IFERROR(VLOOKUP($A32,'Deliverables'!$A:$K,9,FALSE),"")</f>
        <v/>
      </c>
      <c r="K32">
        <f>IFERROR(VLOOKUP($A32,'Deliverables'!$A:$K,10,FALSE),"")</f>
        <v/>
      </c>
      <c r="L32">
        <f>IFERROR(VLOOKUP($A32,'Deliverables'!$A:$K,11,FALSE),"")</f>
        <v/>
      </c>
      <c r="M32" t="inlineStr"/>
      <c r="N32" t="inlineStr"/>
    </row>
    <row r="33">
      <c r="A33" t="inlineStr">
        <is>
          <t>D-009</t>
        </is>
      </c>
      <c r="B33" t="inlineStr">
        <is>
          <t>Deliverable</t>
        </is>
      </c>
      <c r="C33">
        <f>IFERROR(VLOOKUP($A33,'Deliverables'!$A:$K,3,FALSE),"")</f>
        <v/>
      </c>
      <c r="D33">
        <f>IFERROR(VLOOKUP($A33,'Deliverables'!$A:$K,2,FALSE),"")</f>
        <v/>
      </c>
      <c r="E33">
        <f>IFERROR(VLOOKUP($A33,'Deliverables'!$A:$K,6,FALSE),"")</f>
        <v/>
      </c>
      <c r="F33">
        <f>IFERROR(IF(F33="","",G33-F33),"")</f>
        <v/>
      </c>
      <c r="G33">
        <f>IFERROR(VLOOKUP($A33,'Deliverables'!$A:$K,7,FALSE),"")</f>
        <v/>
      </c>
      <c r="H33">
        <f>IFERROR(VLOOKUP($A33,'Deliverables'!$A:$K,8,FALSE),"")</f>
        <v/>
      </c>
      <c r="I33">
        <f>IFERROR(VLOOKUP($A33,'Deliverables'!$A:$K,5,FALSE),"")</f>
        <v/>
      </c>
      <c r="J33">
        <f>IFERROR(VLOOKUP($A33,'Deliverables'!$A:$K,9,FALSE),"")</f>
        <v/>
      </c>
      <c r="K33">
        <f>IFERROR(VLOOKUP($A33,'Deliverables'!$A:$K,10,FALSE),"")</f>
        <v/>
      </c>
      <c r="L33">
        <f>IFERROR(VLOOKUP($A33,'Deliverables'!$A:$K,11,FALSE),"")</f>
        <v/>
      </c>
      <c r="M33" t="inlineStr"/>
      <c r="N33" t="inlineStr"/>
    </row>
    <row r="34">
      <c r="A34" t="inlineStr">
        <is>
          <t>D-010</t>
        </is>
      </c>
      <c r="B34" t="inlineStr">
        <is>
          <t>Deliverable</t>
        </is>
      </c>
      <c r="C34">
        <f>IFERROR(VLOOKUP($A34,'Deliverables'!$A:$K,3,FALSE),"")</f>
        <v/>
      </c>
      <c r="D34">
        <f>IFERROR(VLOOKUP($A34,'Deliverables'!$A:$K,2,FALSE),"")</f>
        <v/>
      </c>
      <c r="E34">
        <f>IFERROR(VLOOKUP($A34,'Deliverables'!$A:$K,6,FALSE),"")</f>
        <v/>
      </c>
      <c r="F34">
        <f>IFERROR(IF(F34="","",G34-F34),"")</f>
        <v/>
      </c>
      <c r="G34">
        <f>IFERROR(VLOOKUP($A34,'Deliverables'!$A:$K,7,FALSE),"")</f>
        <v/>
      </c>
      <c r="H34">
        <f>IFERROR(VLOOKUP($A34,'Deliverables'!$A:$K,8,FALSE),"")</f>
        <v/>
      </c>
      <c r="I34">
        <f>IFERROR(VLOOKUP($A34,'Deliverables'!$A:$K,5,FALSE),"")</f>
        <v/>
      </c>
      <c r="J34">
        <f>IFERROR(VLOOKUP($A34,'Deliverables'!$A:$K,9,FALSE),"")</f>
        <v/>
      </c>
      <c r="K34">
        <f>IFERROR(VLOOKUP($A34,'Deliverables'!$A:$K,10,FALSE),"")</f>
        <v/>
      </c>
      <c r="L34">
        <f>IFERROR(VLOOKUP($A34,'Deliverables'!$A:$K,11,FALSE),"")</f>
        <v/>
      </c>
      <c r="M34" t="inlineStr"/>
      <c r="N34" t="inlineStr"/>
    </row>
    <row r="35">
      <c r="A35" t="inlineStr">
        <is>
          <t>D-011</t>
        </is>
      </c>
      <c r="B35" t="inlineStr">
        <is>
          <t>Deliverable</t>
        </is>
      </c>
      <c r="C35">
        <f>IFERROR(VLOOKUP($A35,'Deliverables'!$A:$K,3,FALSE),"")</f>
        <v/>
      </c>
      <c r="D35">
        <f>IFERROR(VLOOKUP($A35,'Deliverables'!$A:$K,2,FALSE),"")</f>
        <v/>
      </c>
      <c r="E35">
        <f>IFERROR(VLOOKUP($A35,'Deliverables'!$A:$K,6,FALSE),"")</f>
        <v/>
      </c>
      <c r="F35">
        <f>IFERROR(IF(F35="","",G35-F35),"")</f>
        <v/>
      </c>
      <c r="G35">
        <f>IFERROR(VLOOKUP($A35,'Deliverables'!$A:$K,7,FALSE),"")</f>
        <v/>
      </c>
      <c r="H35">
        <f>IFERROR(VLOOKUP($A35,'Deliverables'!$A:$K,8,FALSE),"")</f>
        <v/>
      </c>
      <c r="I35">
        <f>IFERROR(VLOOKUP($A35,'Deliverables'!$A:$K,5,FALSE),"")</f>
        <v/>
      </c>
      <c r="J35">
        <f>IFERROR(VLOOKUP($A35,'Deliverables'!$A:$K,9,FALSE),"")</f>
        <v/>
      </c>
      <c r="K35">
        <f>IFERROR(VLOOKUP($A35,'Deliverables'!$A:$K,10,FALSE),"")</f>
        <v/>
      </c>
      <c r="L35">
        <f>IFERROR(VLOOKUP($A35,'Deliverables'!$A:$K,11,FALSE),"")</f>
        <v/>
      </c>
      <c r="M35" t="inlineStr"/>
      <c r="N35" t="inlineStr"/>
    </row>
    <row r="36">
      <c r="A36" t="inlineStr">
        <is>
          <t>D-012</t>
        </is>
      </c>
      <c r="B36" t="inlineStr">
        <is>
          <t>Deliverable</t>
        </is>
      </c>
      <c r="C36">
        <f>IFERROR(VLOOKUP($A36,'Deliverables'!$A:$K,3,FALSE),"")</f>
        <v/>
      </c>
      <c r="D36">
        <f>IFERROR(VLOOKUP($A36,'Deliverables'!$A:$K,2,FALSE),"")</f>
        <v/>
      </c>
      <c r="E36">
        <f>IFERROR(VLOOKUP($A36,'Deliverables'!$A:$K,6,FALSE),"")</f>
        <v/>
      </c>
      <c r="F36">
        <f>IFERROR(IF(F36="","",G36-F36),"")</f>
        <v/>
      </c>
      <c r="G36">
        <f>IFERROR(VLOOKUP($A36,'Deliverables'!$A:$K,7,FALSE),"")</f>
        <v/>
      </c>
      <c r="H36">
        <f>IFERROR(VLOOKUP($A36,'Deliverables'!$A:$K,8,FALSE),"")</f>
        <v/>
      </c>
      <c r="I36">
        <f>IFERROR(VLOOKUP($A36,'Deliverables'!$A:$K,5,FALSE),"")</f>
        <v/>
      </c>
      <c r="J36">
        <f>IFERROR(VLOOKUP($A36,'Deliverables'!$A:$K,9,FALSE),"")</f>
        <v/>
      </c>
      <c r="K36">
        <f>IFERROR(VLOOKUP($A36,'Deliverables'!$A:$K,10,FALSE),"")</f>
        <v/>
      </c>
      <c r="L36">
        <f>IFERROR(VLOOKUP($A36,'Deliverables'!$A:$K,11,FALSE),"")</f>
        <v/>
      </c>
      <c r="M36" t="inlineStr"/>
      <c r="N36" t="inlineStr"/>
    </row>
    <row r="37">
      <c r="A37" t="inlineStr">
        <is>
          <t>D-013</t>
        </is>
      </c>
      <c r="B37" t="inlineStr">
        <is>
          <t>Deliverable</t>
        </is>
      </c>
      <c r="C37">
        <f>IFERROR(VLOOKUP($A37,'Deliverables'!$A:$K,3,FALSE),"")</f>
        <v/>
      </c>
      <c r="D37">
        <f>IFERROR(VLOOKUP($A37,'Deliverables'!$A:$K,2,FALSE),"")</f>
        <v/>
      </c>
      <c r="E37">
        <f>IFERROR(VLOOKUP($A37,'Deliverables'!$A:$K,6,FALSE),"")</f>
        <v/>
      </c>
      <c r="F37">
        <f>IFERROR(IF(F37="","",G37-F37),"")</f>
        <v/>
      </c>
      <c r="G37">
        <f>IFERROR(VLOOKUP($A37,'Deliverables'!$A:$K,7,FALSE),"")</f>
        <v/>
      </c>
      <c r="H37">
        <f>IFERROR(VLOOKUP($A37,'Deliverables'!$A:$K,8,FALSE),"")</f>
        <v/>
      </c>
      <c r="I37">
        <f>IFERROR(VLOOKUP($A37,'Deliverables'!$A:$K,5,FALSE),"")</f>
        <v/>
      </c>
      <c r="J37">
        <f>IFERROR(VLOOKUP($A37,'Deliverables'!$A:$K,9,FALSE),"")</f>
        <v/>
      </c>
      <c r="K37">
        <f>IFERROR(VLOOKUP($A37,'Deliverables'!$A:$K,10,FALSE),"")</f>
        <v/>
      </c>
      <c r="L37">
        <f>IFERROR(VLOOKUP($A37,'Deliverables'!$A:$K,11,FALSE),"")</f>
        <v/>
      </c>
      <c r="M37" t="inlineStr"/>
      <c r="N37" t="inlineStr"/>
    </row>
    <row r="38">
      <c r="A38" t="inlineStr">
        <is>
          <t>D-014</t>
        </is>
      </c>
      <c r="B38" t="inlineStr">
        <is>
          <t>Deliverable</t>
        </is>
      </c>
      <c r="C38">
        <f>IFERROR(VLOOKUP($A38,'Deliverables'!$A:$K,3,FALSE),"")</f>
        <v/>
      </c>
      <c r="D38">
        <f>IFERROR(VLOOKUP($A38,'Deliverables'!$A:$K,2,FALSE),"")</f>
        <v/>
      </c>
      <c r="E38">
        <f>IFERROR(VLOOKUP($A38,'Deliverables'!$A:$K,6,FALSE),"")</f>
        <v/>
      </c>
      <c r="F38">
        <f>IFERROR(IF(F38="","",G38-F38),"")</f>
        <v/>
      </c>
      <c r="G38">
        <f>IFERROR(VLOOKUP($A38,'Deliverables'!$A:$K,7,FALSE),"")</f>
        <v/>
      </c>
      <c r="H38">
        <f>IFERROR(VLOOKUP($A38,'Deliverables'!$A:$K,8,FALSE),"")</f>
        <v/>
      </c>
      <c r="I38">
        <f>IFERROR(VLOOKUP($A38,'Deliverables'!$A:$K,5,FALSE),"")</f>
        <v/>
      </c>
      <c r="J38">
        <f>IFERROR(VLOOKUP($A38,'Deliverables'!$A:$K,9,FALSE),"")</f>
        <v/>
      </c>
      <c r="K38">
        <f>IFERROR(VLOOKUP($A38,'Deliverables'!$A:$K,10,FALSE),"")</f>
        <v/>
      </c>
      <c r="L38">
        <f>IFERROR(VLOOKUP($A38,'Deliverables'!$A:$K,11,FALSE),"")</f>
        <v/>
      </c>
      <c r="M38" t="inlineStr"/>
      <c r="N38" t="inlineStr"/>
    </row>
    <row r="39">
      <c r="A39" t="inlineStr">
        <is>
          <t>D-015</t>
        </is>
      </c>
      <c r="B39" t="inlineStr">
        <is>
          <t>Deliverable</t>
        </is>
      </c>
      <c r="C39">
        <f>IFERROR(VLOOKUP($A39,'Deliverables'!$A:$K,3,FALSE),"")</f>
        <v/>
      </c>
      <c r="D39">
        <f>IFERROR(VLOOKUP($A39,'Deliverables'!$A:$K,2,FALSE),"")</f>
        <v/>
      </c>
      <c r="E39">
        <f>IFERROR(VLOOKUP($A39,'Deliverables'!$A:$K,6,FALSE),"")</f>
        <v/>
      </c>
      <c r="F39">
        <f>IFERROR(IF(F39="","",G39-F39),"")</f>
        <v/>
      </c>
      <c r="G39">
        <f>IFERROR(VLOOKUP($A39,'Deliverables'!$A:$K,7,FALSE),"")</f>
        <v/>
      </c>
      <c r="H39">
        <f>IFERROR(VLOOKUP($A39,'Deliverables'!$A:$K,8,FALSE),"")</f>
        <v/>
      </c>
      <c r="I39">
        <f>IFERROR(VLOOKUP($A39,'Deliverables'!$A:$K,5,FALSE),"")</f>
        <v/>
      </c>
      <c r="J39">
        <f>IFERROR(VLOOKUP($A39,'Deliverables'!$A:$K,9,FALSE),"")</f>
        <v/>
      </c>
      <c r="K39">
        <f>IFERROR(VLOOKUP($A39,'Deliverables'!$A:$K,10,FALSE),"")</f>
        <v/>
      </c>
      <c r="L39">
        <f>IFERROR(VLOOKUP($A39,'Deliverables'!$A:$K,11,FALSE),"")</f>
        <v/>
      </c>
      <c r="M39" t="inlineStr"/>
      <c r="N39" t="inlineStr"/>
    </row>
    <row r="40">
      <c r="A40" t="inlineStr">
        <is>
          <t>D-016</t>
        </is>
      </c>
      <c r="B40" t="inlineStr">
        <is>
          <t>Deliverable</t>
        </is>
      </c>
      <c r="C40">
        <f>IFERROR(VLOOKUP($A40,'Deliverables'!$A:$K,3,FALSE),"")</f>
        <v/>
      </c>
      <c r="D40">
        <f>IFERROR(VLOOKUP($A40,'Deliverables'!$A:$K,2,FALSE),"")</f>
        <v/>
      </c>
      <c r="E40">
        <f>IFERROR(VLOOKUP($A40,'Deliverables'!$A:$K,6,FALSE),"")</f>
        <v/>
      </c>
      <c r="F40">
        <f>IFERROR(IF(F40="","",G40-F40),"")</f>
        <v/>
      </c>
      <c r="G40">
        <f>IFERROR(VLOOKUP($A40,'Deliverables'!$A:$K,7,FALSE),"")</f>
        <v/>
      </c>
      <c r="H40">
        <f>IFERROR(VLOOKUP($A40,'Deliverables'!$A:$K,8,FALSE),"")</f>
        <v/>
      </c>
      <c r="I40">
        <f>IFERROR(VLOOKUP($A40,'Deliverables'!$A:$K,5,FALSE),"")</f>
        <v/>
      </c>
      <c r="J40">
        <f>IFERROR(VLOOKUP($A40,'Deliverables'!$A:$K,9,FALSE),"")</f>
        <v/>
      </c>
      <c r="K40">
        <f>IFERROR(VLOOKUP($A40,'Deliverables'!$A:$K,10,FALSE),"")</f>
        <v/>
      </c>
      <c r="L40">
        <f>IFERROR(VLOOKUP($A40,'Deliverables'!$A:$K,11,FALSE),"")</f>
        <v/>
      </c>
      <c r="M40" t="inlineStr"/>
      <c r="N40" t="inlineStr"/>
    </row>
    <row r="41">
      <c r="A41" t="inlineStr">
        <is>
          <t>D-017</t>
        </is>
      </c>
      <c r="B41" t="inlineStr">
        <is>
          <t>Deliverable</t>
        </is>
      </c>
      <c r="C41">
        <f>IFERROR(VLOOKUP($A41,'Deliverables'!$A:$K,3,FALSE),"")</f>
        <v/>
      </c>
      <c r="D41">
        <f>IFERROR(VLOOKUP($A41,'Deliverables'!$A:$K,2,FALSE),"")</f>
        <v/>
      </c>
      <c r="E41">
        <f>IFERROR(VLOOKUP($A41,'Deliverables'!$A:$K,6,FALSE),"")</f>
        <v/>
      </c>
      <c r="F41">
        <f>IFERROR(IF(F41="","",G41-F41),"")</f>
        <v/>
      </c>
      <c r="G41">
        <f>IFERROR(VLOOKUP($A41,'Deliverables'!$A:$K,7,FALSE),"")</f>
        <v/>
      </c>
      <c r="H41">
        <f>IFERROR(VLOOKUP($A41,'Deliverables'!$A:$K,8,FALSE),"")</f>
        <v/>
      </c>
      <c r="I41">
        <f>IFERROR(VLOOKUP($A41,'Deliverables'!$A:$K,5,FALSE),"")</f>
        <v/>
      </c>
      <c r="J41">
        <f>IFERROR(VLOOKUP($A41,'Deliverables'!$A:$K,9,FALSE),"")</f>
        <v/>
      </c>
      <c r="K41">
        <f>IFERROR(VLOOKUP($A41,'Deliverables'!$A:$K,10,FALSE),"")</f>
        <v/>
      </c>
      <c r="L41">
        <f>IFERROR(VLOOKUP($A41,'Deliverables'!$A:$K,11,FALSE),"")</f>
        <v/>
      </c>
      <c r="M41" t="inlineStr"/>
      <c r="N41" t="inlineStr"/>
    </row>
    <row r="42">
      <c r="A42" t="inlineStr">
        <is>
          <t>D-018</t>
        </is>
      </c>
      <c r="B42" t="inlineStr">
        <is>
          <t>Deliverable</t>
        </is>
      </c>
      <c r="C42">
        <f>IFERROR(VLOOKUP($A42,'Deliverables'!$A:$K,3,FALSE),"")</f>
        <v/>
      </c>
      <c r="D42">
        <f>IFERROR(VLOOKUP($A42,'Deliverables'!$A:$K,2,FALSE),"")</f>
        <v/>
      </c>
      <c r="E42">
        <f>IFERROR(VLOOKUP($A42,'Deliverables'!$A:$K,6,FALSE),"")</f>
        <v/>
      </c>
      <c r="F42">
        <f>IFERROR(IF(F42="","",G42-F42),"")</f>
        <v/>
      </c>
      <c r="G42">
        <f>IFERROR(VLOOKUP($A42,'Deliverables'!$A:$K,7,FALSE),"")</f>
        <v/>
      </c>
      <c r="H42">
        <f>IFERROR(VLOOKUP($A42,'Deliverables'!$A:$K,8,FALSE),"")</f>
        <v/>
      </c>
      <c r="I42">
        <f>IFERROR(VLOOKUP($A42,'Deliverables'!$A:$K,5,FALSE),"")</f>
        <v/>
      </c>
      <c r="J42">
        <f>IFERROR(VLOOKUP($A42,'Deliverables'!$A:$K,9,FALSE),"")</f>
        <v/>
      </c>
      <c r="K42">
        <f>IFERROR(VLOOKUP($A42,'Deliverables'!$A:$K,10,FALSE),"")</f>
        <v/>
      </c>
      <c r="L42">
        <f>IFERROR(VLOOKUP($A42,'Deliverables'!$A:$K,11,FALSE),"")</f>
        <v/>
      </c>
      <c r="M42" t="inlineStr"/>
      <c r="N42" t="inlineStr"/>
    </row>
    <row r="43">
      <c r="A43" t="inlineStr">
        <is>
          <t>D-019</t>
        </is>
      </c>
      <c r="B43" t="inlineStr">
        <is>
          <t>Deliverable</t>
        </is>
      </c>
      <c r="C43">
        <f>IFERROR(VLOOKUP($A43,'Deliverables'!$A:$K,3,FALSE),"")</f>
        <v/>
      </c>
      <c r="D43">
        <f>IFERROR(VLOOKUP($A43,'Deliverables'!$A:$K,2,FALSE),"")</f>
        <v/>
      </c>
      <c r="E43">
        <f>IFERROR(VLOOKUP($A43,'Deliverables'!$A:$K,6,FALSE),"")</f>
        <v/>
      </c>
      <c r="F43">
        <f>IFERROR(IF(F43="","",G43-F43),"")</f>
        <v/>
      </c>
      <c r="G43">
        <f>IFERROR(VLOOKUP($A43,'Deliverables'!$A:$K,7,FALSE),"")</f>
        <v/>
      </c>
      <c r="H43">
        <f>IFERROR(VLOOKUP($A43,'Deliverables'!$A:$K,8,FALSE),"")</f>
        <v/>
      </c>
      <c r="I43">
        <f>IFERROR(VLOOKUP($A43,'Deliverables'!$A:$K,5,FALSE),"")</f>
        <v/>
      </c>
      <c r="J43">
        <f>IFERROR(VLOOKUP($A43,'Deliverables'!$A:$K,9,FALSE),"")</f>
        <v/>
      </c>
      <c r="K43">
        <f>IFERROR(VLOOKUP($A43,'Deliverables'!$A:$K,10,FALSE),"")</f>
        <v/>
      </c>
      <c r="L43">
        <f>IFERROR(VLOOKUP($A43,'Deliverables'!$A:$K,11,FALSE),"")</f>
        <v/>
      </c>
      <c r="M43" t="inlineStr"/>
      <c r="N43" t="inlineStr"/>
    </row>
    <row r="44">
      <c r="A44" t="inlineStr">
        <is>
          <t>D-020</t>
        </is>
      </c>
      <c r="B44" t="inlineStr">
        <is>
          <t>Deliverable</t>
        </is>
      </c>
      <c r="C44">
        <f>IFERROR(VLOOKUP($A44,'Deliverables'!$A:$K,3,FALSE),"")</f>
        <v/>
      </c>
      <c r="D44">
        <f>IFERROR(VLOOKUP($A44,'Deliverables'!$A:$K,2,FALSE),"")</f>
        <v/>
      </c>
      <c r="E44">
        <f>IFERROR(VLOOKUP($A44,'Deliverables'!$A:$K,6,FALSE),"")</f>
        <v/>
      </c>
      <c r="F44">
        <f>IFERROR(IF(F44="","",G44-F44),"")</f>
        <v/>
      </c>
      <c r="G44">
        <f>IFERROR(VLOOKUP($A44,'Deliverables'!$A:$K,7,FALSE),"")</f>
        <v/>
      </c>
      <c r="H44">
        <f>IFERROR(VLOOKUP($A44,'Deliverables'!$A:$K,8,FALSE),"")</f>
        <v/>
      </c>
      <c r="I44">
        <f>IFERROR(VLOOKUP($A44,'Deliverables'!$A:$K,5,FALSE),"")</f>
        <v/>
      </c>
      <c r="J44">
        <f>IFERROR(VLOOKUP($A44,'Deliverables'!$A:$K,9,FALSE),"")</f>
        <v/>
      </c>
      <c r="K44">
        <f>IFERROR(VLOOKUP($A44,'Deliverables'!$A:$K,10,FALSE),"")</f>
        <v/>
      </c>
      <c r="L44">
        <f>IFERROR(VLOOKUP($A44,'Deliverables'!$A:$K,11,FALSE),"")</f>
        <v/>
      </c>
      <c r="M44" t="inlineStr"/>
      <c r="N44" t="inlineStr"/>
    </row>
    <row r="45">
      <c r="A45" t="inlineStr">
        <is>
          <t>D-021</t>
        </is>
      </c>
      <c r="B45" t="inlineStr">
        <is>
          <t>Deliverable</t>
        </is>
      </c>
      <c r="C45">
        <f>IFERROR(VLOOKUP($A45,'Deliverables'!$A:$K,3,FALSE),"")</f>
        <v/>
      </c>
      <c r="D45">
        <f>IFERROR(VLOOKUP($A45,'Deliverables'!$A:$K,2,FALSE),"")</f>
        <v/>
      </c>
      <c r="E45">
        <f>IFERROR(VLOOKUP($A45,'Deliverables'!$A:$K,6,FALSE),"")</f>
        <v/>
      </c>
      <c r="F45">
        <f>IFERROR(IF(F45="","",G45-F45),"")</f>
        <v/>
      </c>
      <c r="G45">
        <f>IFERROR(VLOOKUP($A45,'Deliverables'!$A:$K,7,FALSE),"")</f>
        <v/>
      </c>
      <c r="H45">
        <f>IFERROR(VLOOKUP($A45,'Deliverables'!$A:$K,8,FALSE),"")</f>
        <v/>
      </c>
      <c r="I45">
        <f>IFERROR(VLOOKUP($A45,'Deliverables'!$A:$K,5,FALSE),"")</f>
        <v/>
      </c>
      <c r="J45">
        <f>IFERROR(VLOOKUP($A45,'Deliverables'!$A:$K,9,FALSE),"")</f>
        <v/>
      </c>
      <c r="K45">
        <f>IFERROR(VLOOKUP($A45,'Deliverables'!$A:$K,10,FALSE),"")</f>
        <v/>
      </c>
      <c r="L45">
        <f>IFERROR(VLOOKUP($A45,'Deliverables'!$A:$K,11,FALSE),"")</f>
        <v/>
      </c>
      <c r="M45" t="inlineStr"/>
      <c r="N45" t="inlineStr"/>
    </row>
    <row r="46">
      <c r="A46" t="inlineStr">
        <is>
          <t>D-022</t>
        </is>
      </c>
      <c r="B46" t="inlineStr">
        <is>
          <t>Deliverable</t>
        </is>
      </c>
      <c r="C46">
        <f>IFERROR(VLOOKUP($A46,'Deliverables'!$A:$K,3,FALSE),"")</f>
        <v/>
      </c>
      <c r="D46">
        <f>IFERROR(VLOOKUP($A46,'Deliverables'!$A:$K,2,FALSE),"")</f>
        <v/>
      </c>
      <c r="E46">
        <f>IFERROR(VLOOKUP($A46,'Deliverables'!$A:$K,6,FALSE),"")</f>
        <v/>
      </c>
      <c r="F46">
        <f>IFERROR(IF(F46="","",G46-F46),"")</f>
        <v/>
      </c>
      <c r="G46">
        <f>IFERROR(VLOOKUP($A46,'Deliverables'!$A:$K,7,FALSE),"")</f>
        <v/>
      </c>
      <c r="H46">
        <f>IFERROR(VLOOKUP($A46,'Deliverables'!$A:$K,8,FALSE),"")</f>
        <v/>
      </c>
      <c r="I46">
        <f>IFERROR(VLOOKUP($A46,'Deliverables'!$A:$K,5,FALSE),"")</f>
        <v/>
      </c>
      <c r="J46">
        <f>IFERROR(VLOOKUP($A46,'Deliverables'!$A:$K,9,FALSE),"")</f>
        <v/>
      </c>
      <c r="K46">
        <f>IFERROR(VLOOKUP($A46,'Deliverables'!$A:$K,10,FALSE),"")</f>
        <v/>
      </c>
      <c r="L46">
        <f>IFERROR(VLOOKUP($A46,'Deliverables'!$A:$K,11,FALSE),"")</f>
        <v/>
      </c>
      <c r="M46" t="inlineStr"/>
      <c r="N46" t="inlineStr"/>
    </row>
    <row r="47">
      <c r="A47" t="inlineStr">
        <is>
          <t>D-023</t>
        </is>
      </c>
      <c r="B47" t="inlineStr">
        <is>
          <t>Deliverable</t>
        </is>
      </c>
      <c r="C47">
        <f>IFERROR(VLOOKUP($A47,'Deliverables'!$A:$K,3,FALSE),"")</f>
        <v/>
      </c>
      <c r="D47">
        <f>IFERROR(VLOOKUP($A47,'Deliverables'!$A:$K,2,FALSE),"")</f>
        <v/>
      </c>
      <c r="E47">
        <f>IFERROR(VLOOKUP($A47,'Deliverables'!$A:$K,6,FALSE),"")</f>
        <v/>
      </c>
      <c r="F47">
        <f>IFERROR(IF(F47="","",G47-F47),"")</f>
        <v/>
      </c>
      <c r="G47">
        <f>IFERROR(VLOOKUP($A47,'Deliverables'!$A:$K,7,FALSE),"")</f>
        <v/>
      </c>
      <c r="H47">
        <f>IFERROR(VLOOKUP($A47,'Deliverables'!$A:$K,8,FALSE),"")</f>
        <v/>
      </c>
      <c r="I47">
        <f>IFERROR(VLOOKUP($A47,'Deliverables'!$A:$K,5,FALSE),"")</f>
        <v/>
      </c>
      <c r="J47">
        <f>IFERROR(VLOOKUP($A47,'Deliverables'!$A:$K,9,FALSE),"")</f>
        <v/>
      </c>
      <c r="K47">
        <f>IFERROR(VLOOKUP($A47,'Deliverables'!$A:$K,10,FALSE),"")</f>
        <v/>
      </c>
      <c r="L47">
        <f>IFERROR(VLOOKUP($A47,'Deliverables'!$A:$K,11,FALSE),"")</f>
        <v/>
      </c>
      <c r="M47" t="inlineStr"/>
      <c r="N47" t="inlineStr"/>
    </row>
    <row r="48">
      <c r="A48" t="inlineStr">
        <is>
          <t>D-024</t>
        </is>
      </c>
      <c r="B48" t="inlineStr">
        <is>
          <t>Deliverable</t>
        </is>
      </c>
      <c r="C48">
        <f>IFERROR(VLOOKUP($A48,'Deliverables'!$A:$K,3,FALSE),"")</f>
        <v/>
      </c>
      <c r="D48">
        <f>IFERROR(VLOOKUP($A48,'Deliverables'!$A:$K,2,FALSE),"")</f>
        <v/>
      </c>
      <c r="E48">
        <f>IFERROR(VLOOKUP($A48,'Deliverables'!$A:$K,6,FALSE),"")</f>
        <v/>
      </c>
      <c r="F48">
        <f>IFERROR(IF(F48="","",G48-F48),"")</f>
        <v/>
      </c>
      <c r="G48">
        <f>IFERROR(VLOOKUP($A48,'Deliverables'!$A:$K,7,FALSE),"")</f>
        <v/>
      </c>
      <c r="H48">
        <f>IFERROR(VLOOKUP($A48,'Deliverables'!$A:$K,8,FALSE),"")</f>
        <v/>
      </c>
      <c r="I48">
        <f>IFERROR(VLOOKUP($A48,'Deliverables'!$A:$K,5,FALSE),"")</f>
        <v/>
      </c>
      <c r="J48">
        <f>IFERROR(VLOOKUP($A48,'Deliverables'!$A:$K,9,FALSE),"")</f>
        <v/>
      </c>
      <c r="K48">
        <f>IFERROR(VLOOKUP($A48,'Deliverables'!$A:$K,10,FALSE),"")</f>
        <v/>
      </c>
      <c r="L48">
        <f>IFERROR(VLOOKUP($A48,'Deliverables'!$A:$K,11,FALSE),"")</f>
        <v/>
      </c>
      <c r="M48" t="inlineStr"/>
      <c r="N48" t="inlineStr"/>
    </row>
    <row r="49">
      <c r="A49" t="inlineStr">
        <is>
          <t>D-025</t>
        </is>
      </c>
      <c r="B49" t="inlineStr">
        <is>
          <t>Deliverable</t>
        </is>
      </c>
      <c r="C49">
        <f>IFERROR(VLOOKUP($A49,'Deliverables'!$A:$K,3,FALSE),"")</f>
        <v/>
      </c>
      <c r="D49">
        <f>IFERROR(VLOOKUP($A49,'Deliverables'!$A:$K,2,FALSE),"")</f>
        <v/>
      </c>
      <c r="E49">
        <f>IFERROR(VLOOKUP($A49,'Deliverables'!$A:$K,6,FALSE),"")</f>
        <v/>
      </c>
      <c r="F49">
        <f>IFERROR(IF(F49="","",G49-F49),"")</f>
        <v/>
      </c>
      <c r="G49">
        <f>IFERROR(VLOOKUP($A49,'Deliverables'!$A:$K,7,FALSE),"")</f>
        <v/>
      </c>
      <c r="H49">
        <f>IFERROR(VLOOKUP($A49,'Deliverables'!$A:$K,8,FALSE),"")</f>
        <v/>
      </c>
      <c r="I49">
        <f>IFERROR(VLOOKUP($A49,'Deliverables'!$A:$K,5,FALSE),"")</f>
        <v/>
      </c>
      <c r="J49">
        <f>IFERROR(VLOOKUP($A49,'Deliverables'!$A:$K,9,FALSE),"")</f>
        <v/>
      </c>
      <c r="K49">
        <f>IFERROR(VLOOKUP($A49,'Deliverables'!$A:$K,10,FALSE),"")</f>
        <v/>
      </c>
      <c r="L49">
        <f>IFERROR(VLOOKUP($A49,'Deliverables'!$A:$K,11,FALSE),"")</f>
        <v/>
      </c>
      <c r="M49" t="inlineStr"/>
      <c r="N49" t="inlineStr"/>
    </row>
    <row r="50">
      <c r="A50" t="inlineStr">
        <is>
          <t>D-026</t>
        </is>
      </c>
      <c r="B50" t="inlineStr">
        <is>
          <t>Deliverable</t>
        </is>
      </c>
      <c r="C50">
        <f>IFERROR(VLOOKUP($A50,'Deliverables'!$A:$K,3,FALSE),"")</f>
        <v/>
      </c>
      <c r="D50">
        <f>IFERROR(VLOOKUP($A50,'Deliverables'!$A:$K,2,FALSE),"")</f>
        <v/>
      </c>
      <c r="E50">
        <f>IFERROR(VLOOKUP($A50,'Deliverables'!$A:$K,6,FALSE),"")</f>
        <v/>
      </c>
      <c r="F50">
        <f>IFERROR(IF(F50="","",G50-F50),"")</f>
        <v/>
      </c>
      <c r="G50">
        <f>IFERROR(VLOOKUP($A50,'Deliverables'!$A:$K,7,FALSE),"")</f>
        <v/>
      </c>
      <c r="H50">
        <f>IFERROR(VLOOKUP($A50,'Deliverables'!$A:$K,8,FALSE),"")</f>
        <v/>
      </c>
      <c r="I50">
        <f>IFERROR(VLOOKUP($A50,'Deliverables'!$A:$K,5,FALSE),"")</f>
        <v/>
      </c>
      <c r="J50">
        <f>IFERROR(VLOOKUP($A50,'Deliverables'!$A:$K,9,FALSE),"")</f>
        <v/>
      </c>
      <c r="K50">
        <f>IFERROR(VLOOKUP($A50,'Deliverables'!$A:$K,10,FALSE),"")</f>
        <v/>
      </c>
      <c r="L50">
        <f>IFERROR(VLOOKUP($A50,'Deliverables'!$A:$K,11,FALSE),"")</f>
        <v/>
      </c>
      <c r="M50" t="inlineStr"/>
      <c r="N50" t="inlineStr"/>
    </row>
    <row r="51">
      <c r="A51" t="inlineStr">
        <is>
          <t>D-027</t>
        </is>
      </c>
      <c r="B51" t="inlineStr">
        <is>
          <t>Deliverable</t>
        </is>
      </c>
      <c r="C51">
        <f>IFERROR(VLOOKUP($A51,'Deliverables'!$A:$K,3,FALSE),"")</f>
        <v/>
      </c>
      <c r="D51">
        <f>IFERROR(VLOOKUP($A51,'Deliverables'!$A:$K,2,FALSE),"")</f>
        <v/>
      </c>
      <c r="E51">
        <f>IFERROR(VLOOKUP($A51,'Deliverables'!$A:$K,6,FALSE),"")</f>
        <v/>
      </c>
      <c r="F51">
        <f>IFERROR(IF(F51="","",G51-F51),"")</f>
        <v/>
      </c>
      <c r="G51">
        <f>IFERROR(VLOOKUP($A51,'Deliverables'!$A:$K,7,FALSE),"")</f>
        <v/>
      </c>
      <c r="H51">
        <f>IFERROR(VLOOKUP($A51,'Deliverables'!$A:$K,8,FALSE),"")</f>
        <v/>
      </c>
      <c r="I51">
        <f>IFERROR(VLOOKUP($A51,'Deliverables'!$A:$K,5,FALSE),"")</f>
        <v/>
      </c>
      <c r="J51">
        <f>IFERROR(VLOOKUP($A51,'Deliverables'!$A:$K,9,FALSE),"")</f>
        <v/>
      </c>
      <c r="K51">
        <f>IFERROR(VLOOKUP($A51,'Deliverables'!$A:$K,10,FALSE),"")</f>
        <v/>
      </c>
      <c r="L51">
        <f>IFERROR(VLOOKUP($A51,'Deliverables'!$A:$K,11,FALSE),"")</f>
        <v/>
      </c>
      <c r="M51" t="inlineStr"/>
      <c r="N51" t="inlineStr"/>
    </row>
    <row r="52">
      <c r="A52" t="inlineStr">
        <is>
          <t>D-028</t>
        </is>
      </c>
      <c r="B52" t="inlineStr">
        <is>
          <t>Deliverable</t>
        </is>
      </c>
      <c r="C52">
        <f>IFERROR(VLOOKUP($A52,'Deliverables'!$A:$K,3,FALSE),"")</f>
        <v/>
      </c>
      <c r="D52">
        <f>IFERROR(VLOOKUP($A52,'Deliverables'!$A:$K,2,FALSE),"")</f>
        <v/>
      </c>
      <c r="E52">
        <f>IFERROR(VLOOKUP($A52,'Deliverables'!$A:$K,6,FALSE),"")</f>
        <v/>
      </c>
      <c r="F52">
        <f>IFERROR(IF(F52="","",G52-F52),"")</f>
        <v/>
      </c>
      <c r="G52">
        <f>IFERROR(VLOOKUP($A52,'Deliverables'!$A:$K,7,FALSE),"")</f>
        <v/>
      </c>
      <c r="H52">
        <f>IFERROR(VLOOKUP($A52,'Deliverables'!$A:$K,8,FALSE),"")</f>
        <v/>
      </c>
      <c r="I52">
        <f>IFERROR(VLOOKUP($A52,'Deliverables'!$A:$K,5,FALSE),"")</f>
        <v/>
      </c>
      <c r="J52">
        <f>IFERROR(VLOOKUP($A52,'Deliverables'!$A:$K,9,FALSE),"")</f>
        <v/>
      </c>
      <c r="K52">
        <f>IFERROR(VLOOKUP($A52,'Deliverables'!$A:$K,10,FALSE),"")</f>
        <v/>
      </c>
      <c r="L52">
        <f>IFERROR(VLOOKUP($A52,'Deliverables'!$A:$K,11,FALSE),"")</f>
        <v/>
      </c>
      <c r="M52" t="inlineStr"/>
      <c r="N52" t="inlineStr"/>
    </row>
    <row r="53">
      <c r="A53" t="inlineStr">
        <is>
          <t>D-029</t>
        </is>
      </c>
      <c r="B53" t="inlineStr">
        <is>
          <t>Deliverable</t>
        </is>
      </c>
      <c r="C53">
        <f>IFERROR(VLOOKUP($A53,'Deliverables'!$A:$K,3,FALSE),"")</f>
        <v/>
      </c>
      <c r="D53">
        <f>IFERROR(VLOOKUP($A53,'Deliverables'!$A:$K,2,FALSE),"")</f>
        <v/>
      </c>
      <c r="E53">
        <f>IFERROR(VLOOKUP($A53,'Deliverables'!$A:$K,6,FALSE),"")</f>
        <v/>
      </c>
      <c r="F53">
        <f>IFERROR(IF(F53="","",G53-F53),"")</f>
        <v/>
      </c>
      <c r="G53">
        <f>IFERROR(VLOOKUP($A53,'Deliverables'!$A:$K,7,FALSE),"")</f>
        <v/>
      </c>
      <c r="H53">
        <f>IFERROR(VLOOKUP($A53,'Deliverables'!$A:$K,8,FALSE),"")</f>
        <v/>
      </c>
      <c r="I53">
        <f>IFERROR(VLOOKUP($A53,'Deliverables'!$A:$K,5,FALSE),"")</f>
        <v/>
      </c>
      <c r="J53">
        <f>IFERROR(VLOOKUP($A53,'Deliverables'!$A:$K,9,FALSE),"")</f>
        <v/>
      </c>
      <c r="K53">
        <f>IFERROR(VLOOKUP($A53,'Deliverables'!$A:$K,10,FALSE),"")</f>
        <v/>
      </c>
      <c r="L53">
        <f>IFERROR(VLOOKUP($A53,'Deliverables'!$A:$K,11,FALSE),"")</f>
        <v/>
      </c>
      <c r="M53" t="inlineStr"/>
      <c r="N53" t="inlineStr"/>
    </row>
    <row r="54">
      <c r="A54" t="inlineStr">
        <is>
          <t>D-030</t>
        </is>
      </c>
      <c r="B54" t="inlineStr">
        <is>
          <t>Deliverable</t>
        </is>
      </c>
      <c r="C54">
        <f>IFERROR(VLOOKUP($A54,'Deliverables'!$A:$K,3,FALSE),"")</f>
        <v/>
      </c>
      <c r="D54">
        <f>IFERROR(VLOOKUP($A54,'Deliverables'!$A:$K,2,FALSE),"")</f>
        <v/>
      </c>
      <c r="E54">
        <f>IFERROR(VLOOKUP($A54,'Deliverables'!$A:$K,6,FALSE),"")</f>
        <v/>
      </c>
      <c r="F54">
        <f>IFERROR(IF(F54="","",G54-F54),"")</f>
        <v/>
      </c>
      <c r="G54">
        <f>IFERROR(VLOOKUP($A54,'Deliverables'!$A:$K,7,FALSE),"")</f>
        <v/>
      </c>
      <c r="H54">
        <f>IFERROR(VLOOKUP($A54,'Deliverables'!$A:$K,8,FALSE),"")</f>
        <v/>
      </c>
      <c r="I54">
        <f>IFERROR(VLOOKUP($A54,'Deliverables'!$A:$K,5,FALSE),"")</f>
        <v/>
      </c>
      <c r="J54">
        <f>IFERROR(VLOOKUP($A54,'Deliverables'!$A:$K,9,FALSE),"")</f>
        <v/>
      </c>
      <c r="K54">
        <f>IFERROR(VLOOKUP($A54,'Deliverables'!$A:$K,10,FALSE),"")</f>
        <v/>
      </c>
      <c r="L54">
        <f>IFERROR(VLOOKUP($A54,'Deliverables'!$A:$K,11,FALSE),"")</f>
        <v/>
      </c>
      <c r="M54" t="inlineStr"/>
      <c r="N54" t="inlineStr"/>
    </row>
    <row r="55">
      <c r="A55" t="inlineStr">
        <is>
          <t>D-031</t>
        </is>
      </c>
      <c r="B55" t="inlineStr">
        <is>
          <t>Deliverable</t>
        </is>
      </c>
      <c r="C55">
        <f>IFERROR(VLOOKUP($A55,'Deliverables'!$A:$K,3,FALSE),"")</f>
        <v/>
      </c>
      <c r="D55">
        <f>IFERROR(VLOOKUP($A55,'Deliverables'!$A:$K,2,FALSE),"")</f>
        <v/>
      </c>
      <c r="E55">
        <f>IFERROR(VLOOKUP($A55,'Deliverables'!$A:$K,6,FALSE),"")</f>
        <v/>
      </c>
      <c r="F55">
        <f>IFERROR(IF(F55="","",G55-F55),"")</f>
        <v/>
      </c>
      <c r="G55">
        <f>IFERROR(VLOOKUP($A55,'Deliverables'!$A:$K,7,FALSE),"")</f>
        <v/>
      </c>
      <c r="H55">
        <f>IFERROR(VLOOKUP($A55,'Deliverables'!$A:$K,8,FALSE),"")</f>
        <v/>
      </c>
      <c r="I55">
        <f>IFERROR(VLOOKUP($A55,'Deliverables'!$A:$K,5,FALSE),"")</f>
        <v/>
      </c>
      <c r="J55">
        <f>IFERROR(VLOOKUP($A55,'Deliverables'!$A:$K,9,FALSE),"")</f>
        <v/>
      </c>
      <c r="K55">
        <f>IFERROR(VLOOKUP($A55,'Deliverables'!$A:$K,10,FALSE),"")</f>
        <v/>
      </c>
      <c r="L55">
        <f>IFERROR(VLOOKUP($A55,'Deliverables'!$A:$K,11,FALSE),"")</f>
        <v/>
      </c>
      <c r="M55" t="inlineStr"/>
      <c r="N55" t="inlineStr"/>
    </row>
    <row r="56">
      <c r="A56" t="inlineStr">
        <is>
          <t>D-032</t>
        </is>
      </c>
      <c r="B56" t="inlineStr">
        <is>
          <t>Deliverable</t>
        </is>
      </c>
      <c r="C56">
        <f>IFERROR(VLOOKUP($A56,'Deliverables'!$A:$K,3,FALSE),"")</f>
        <v/>
      </c>
      <c r="D56">
        <f>IFERROR(VLOOKUP($A56,'Deliverables'!$A:$K,2,FALSE),"")</f>
        <v/>
      </c>
      <c r="E56">
        <f>IFERROR(VLOOKUP($A56,'Deliverables'!$A:$K,6,FALSE),"")</f>
        <v/>
      </c>
      <c r="F56">
        <f>IFERROR(IF(F56="","",G56-F56),"")</f>
        <v/>
      </c>
      <c r="G56">
        <f>IFERROR(VLOOKUP($A56,'Deliverables'!$A:$K,7,FALSE),"")</f>
        <v/>
      </c>
      <c r="H56">
        <f>IFERROR(VLOOKUP($A56,'Deliverables'!$A:$K,8,FALSE),"")</f>
        <v/>
      </c>
      <c r="I56">
        <f>IFERROR(VLOOKUP($A56,'Deliverables'!$A:$K,5,FALSE),"")</f>
        <v/>
      </c>
      <c r="J56">
        <f>IFERROR(VLOOKUP($A56,'Deliverables'!$A:$K,9,FALSE),"")</f>
        <v/>
      </c>
      <c r="K56">
        <f>IFERROR(VLOOKUP($A56,'Deliverables'!$A:$K,10,FALSE),"")</f>
        <v/>
      </c>
      <c r="L56">
        <f>IFERROR(VLOOKUP($A56,'Deliverables'!$A:$K,11,FALSE),"")</f>
        <v/>
      </c>
      <c r="M56" t="inlineStr"/>
      <c r="N56" t="inlineStr"/>
    </row>
    <row r="57">
      <c r="A57" t="inlineStr">
        <is>
          <t>D-033</t>
        </is>
      </c>
      <c r="B57" t="inlineStr">
        <is>
          <t>Deliverable</t>
        </is>
      </c>
      <c r="C57">
        <f>IFERROR(VLOOKUP($A57,'Deliverables'!$A:$K,3,FALSE),"")</f>
        <v/>
      </c>
      <c r="D57">
        <f>IFERROR(VLOOKUP($A57,'Deliverables'!$A:$K,2,FALSE),"")</f>
        <v/>
      </c>
      <c r="E57">
        <f>IFERROR(VLOOKUP($A57,'Deliverables'!$A:$K,6,FALSE),"")</f>
        <v/>
      </c>
      <c r="F57">
        <f>IFERROR(IF(F57="","",G57-F57),"")</f>
        <v/>
      </c>
      <c r="G57">
        <f>IFERROR(VLOOKUP($A57,'Deliverables'!$A:$K,7,FALSE),"")</f>
        <v/>
      </c>
      <c r="H57">
        <f>IFERROR(VLOOKUP($A57,'Deliverables'!$A:$K,8,FALSE),"")</f>
        <v/>
      </c>
      <c r="I57">
        <f>IFERROR(VLOOKUP($A57,'Deliverables'!$A:$K,5,FALSE),"")</f>
        <v/>
      </c>
      <c r="J57">
        <f>IFERROR(VLOOKUP($A57,'Deliverables'!$A:$K,9,FALSE),"")</f>
        <v/>
      </c>
      <c r="K57">
        <f>IFERROR(VLOOKUP($A57,'Deliverables'!$A:$K,10,FALSE),"")</f>
        <v/>
      </c>
      <c r="L57">
        <f>IFERROR(VLOOKUP($A57,'Deliverables'!$A:$K,11,FALSE),"")</f>
        <v/>
      </c>
      <c r="M57" t="inlineStr"/>
      <c r="N57" t="inlineStr"/>
    </row>
    <row r="58">
      <c r="A58" t="inlineStr">
        <is>
          <t>D-034</t>
        </is>
      </c>
      <c r="B58" t="inlineStr">
        <is>
          <t>Deliverable</t>
        </is>
      </c>
      <c r="C58">
        <f>IFERROR(VLOOKUP($A58,'Deliverables'!$A:$K,3,FALSE),"")</f>
        <v/>
      </c>
      <c r="D58">
        <f>IFERROR(VLOOKUP($A58,'Deliverables'!$A:$K,2,FALSE),"")</f>
        <v/>
      </c>
      <c r="E58">
        <f>IFERROR(VLOOKUP($A58,'Deliverables'!$A:$K,6,FALSE),"")</f>
        <v/>
      </c>
      <c r="F58">
        <f>IFERROR(IF(F58="","",G58-F58),"")</f>
        <v/>
      </c>
      <c r="G58">
        <f>IFERROR(VLOOKUP($A58,'Deliverables'!$A:$K,7,FALSE),"")</f>
        <v/>
      </c>
      <c r="H58">
        <f>IFERROR(VLOOKUP($A58,'Deliverables'!$A:$K,8,FALSE),"")</f>
        <v/>
      </c>
      <c r="I58">
        <f>IFERROR(VLOOKUP($A58,'Deliverables'!$A:$K,5,FALSE),"")</f>
        <v/>
      </c>
      <c r="J58">
        <f>IFERROR(VLOOKUP($A58,'Deliverables'!$A:$K,9,FALSE),"")</f>
        <v/>
      </c>
      <c r="K58">
        <f>IFERROR(VLOOKUP($A58,'Deliverables'!$A:$K,10,FALSE),"")</f>
        <v/>
      </c>
      <c r="L58">
        <f>IFERROR(VLOOKUP($A58,'Deliverables'!$A:$K,11,FALSE),"")</f>
        <v/>
      </c>
      <c r="M58" t="inlineStr"/>
      <c r="N58" t="inlineStr"/>
    </row>
    <row r="59">
      <c r="A59" t="inlineStr">
        <is>
          <t>D-035</t>
        </is>
      </c>
      <c r="B59" t="inlineStr">
        <is>
          <t>Deliverable</t>
        </is>
      </c>
      <c r="C59">
        <f>IFERROR(VLOOKUP($A59,'Deliverables'!$A:$K,3,FALSE),"")</f>
        <v/>
      </c>
      <c r="D59">
        <f>IFERROR(VLOOKUP($A59,'Deliverables'!$A:$K,2,FALSE),"")</f>
        <v/>
      </c>
      <c r="E59">
        <f>IFERROR(VLOOKUP($A59,'Deliverables'!$A:$K,6,FALSE),"")</f>
        <v/>
      </c>
      <c r="F59">
        <f>IFERROR(IF(F59="","",G59-F59),"")</f>
        <v/>
      </c>
      <c r="G59">
        <f>IFERROR(VLOOKUP($A59,'Deliverables'!$A:$K,7,FALSE),"")</f>
        <v/>
      </c>
      <c r="H59">
        <f>IFERROR(VLOOKUP($A59,'Deliverables'!$A:$K,8,FALSE),"")</f>
        <v/>
      </c>
      <c r="I59">
        <f>IFERROR(VLOOKUP($A59,'Deliverables'!$A:$K,5,FALSE),"")</f>
        <v/>
      </c>
      <c r="J59">
        <f>IFERROR(VLOOKUP($A59,'Deliverables'!$A:$K,9,FALSE),"")</f>
        <v/>
      </c>
      <c r="K59">
        <f>IFERROR(VLOOKUP($A59,'Deliverables'!$A:$K,10,FALSE),"")</f>
        <v/>
      </c>
      <c r="L59">
        <f>IFERROR(VLOOKUP($A59,'Deliverables'!$A:$K,11,FALSE),"")</f>
        <v/>
      </c>
      <c r="M59" t="inlineStr"/>
      <c r="N59" t="inlineStr"/>
    </row>
    <row r="60">
      <c r="A60" t="inlineStr">
        <is>
          <t>D-036</t>
        </is>
      </c>
      <c r="B60" t="inlineStr">
        <is>
          <t>Deliverable</t>
        </is>
      </c>
      <c r="C60">
        <f>IFERROR(VLOOKUP($A60,'Deliverables'!$A:$K,3,FALSE),"")</f>
        <v/>
      </c>
      <c r="D60">
        <f>IFERROR(VLOOKUP($A60,'Deliverables'!$A:$K,2,FALSE),"")</f>
        <v/>
      </c>
      <c r="E60">
        <f>IFERROR(VLOOKUP($A60,'Deliverables'!$A:$K,6,FALSE),"")</f>
        <v/>
      </c>
      <c r="F60">
        <f>IFERROR(IF(F60="","",G60-F60),"")</f>
        <v/>
      </c>
      <c r="G60">
        <f>IFERROR(VLOOKUP($A60,'Deliverables'!$A:$K,7,FALSE),"")</f>
        <v/>
      </c>
      <c r="H60">
        <f>IFERROR(VLOOKUP($A60,'Deliverables'!$A:$K,8,FALSE),"")</f>
        <v/>
      </c>
      <c r="I60">
        <f>IFERROR(VLOOKUP($A60,'Deliverables'!$A:$K,5,FALSE),"")</f>
        <v/>
      </c>
      <c r="J60">
        <f>IFERROR(VLOOKUP($A60,'Deliverables'!$A:$K,9,FALSE),"")</f>
        <v/>
      </c>
      <c r="K60">
        <f>IFERROR(VLOOKUP($A60,'Deliverables'!$A:$K,10,FALSE),"")</f>
        <v/>
      </c>
      <c r="L60">
        <f>IFERROR(VLOOKUP($A60,'Deliverables'!$A:$K,11,FALSE),"")</f>
        <v/>
      </c>
      <c r="M60" t="inlineStr"/>
      <c r="N60" t="inlineStr"/>
    </row>
    <row r="61">
      <c r="A61" t="inlineStr">
        <is>
          <t>D-037</t>
        </is>
      </c>
      <c r="B61" t="inlineStr">
        <is>
          <t>Deliverable</t>
        </is>
      </c>
      <c r="C61">
        <f>IFERROR(VLOOKUP($A61,'Deliverables'!$A:$K,3,FALSE),"")</f>
        <v/>
      </c>
      <c r="D61">
        <f>IFERROR(VLOOKUP($A61,'Deliverables'!$A:$K,2,FALSE),"")</f>
        <v/>
      </c>
      <c r="E61">
        <f>IFERROR(VLOOKUP($A61,'Deliverables'!$A:$K,6,FALSE),"")</f>
        <v/>
      </c>
      <c r="F61">
        <f>IFERROR(IF(F61="","",G61-F61),"")</f>
        <v/>
      </c>
      <c r="G61">
        <f>IFERROR(VLOOKUP($A61,'Deliverables'!$A:$K,7,FALSE),"")</f>
        <v/>
      </c>
      <c r="H61">
        <f>IFERROR(VLOOKUP($A61,'Deliverables'!$A:$K,8,FALSE),"")</f>
        <v/>
      </c>
      <c r="I61">
        <f>IFERROR(VLOOKUP($A61,'Deliverables'!$A:$K,5,FALSE),"")</f>
        <v/>
      </c>
      <c r="J61">
        <f>IFERROR(VLOOKUP($A61,'Deliverables'!$A:$K,9,FALSE),"")</f>
        <v/>
      </c>
      <c r="K61">
        <f>IFERROR(VLOOKUP($A61,'Deliverables'!$A:$K,10,FALSE),"")</f>
        <v/>
      </c>
      <c r="L61">
        <f>IFERROR(VLOOKUP($A61,'Deliverables'!$A:$K,11,FALSE),"")</f>
        <v/>
      </c>
      <c r="M61" t="inlineStr"/>
      <c r="N61" t="inlineStr"/>
    </row>
    <row r="62">
      <c r="A62" t="inlineStr">
        <is>
          <t>D-038</t>
        </is>
      </c>
      <c r="B62" t="inlineStr">
        <is>
          <t>Deliverable</t>
        </is>
      </c>
      <c r="C62">
        <f>IFERROR(VLOOKUP($A62,'Deliverables'!$A:$K,3,FALSE),"")</f>
        <v/>
      </c>
      <c r="D62">
        <f>IFERROR(VLOOKUP($A62,'Deliverables'!$A:$K,2,FALSE),"")</f>
        <v/>
      </c>
      <c r="E62">
        <f>IFERROR(VLOOKUP($A62,'Deliverables'!$A:$K,6,FALSE),"")</f>
        <v/>
      </c>
      <c r="F62">
        <f>IFERROR(IF(F62="","",G62-F62),"")</f>
        <v/>
      </c>
      <c r="G62">
        <f>IFERROR(VLOOKUP($A62,'Deliverables'!$A:$K,7,FALSE),"")</f>
        <v/>
      </c>
      <c r="H62">
        <f>IFERROR(VLOOKUP($A62,'Deliverables'!$A:$K,8,FALSE),"")</f>
        <v/>
      </c>
      <c r="I62">
        <f>IFERROR(VLOOKUP($A62,'Deliverables'!$A:$K,5,FALSE),"")</f>
        <v/>
      </c>
      <c r="J62">
        <f>IFERROR(VLOOKUP($A62,'Deliverables'!$A:$K,9,FALSE),"")</f>
        <v/>
      </c>
      <c r="K62">
        <f>IFERROR(VLOOKUP($A62,'Deliverables'!$A:$K,10,FALSE),"")</f>
        <v/>
      </c>
      <c r="L62">
        <f>IFERROR(VLOOKUP($A62,'Deliverables'!$A:$K,11,FALSE),"")</f>
        <v/>
      </c>
      <c r="M62" t="inlineStr"/>
      <c r="N62" t="inlineStr"/>
    </row>
    <row r="63">
      <c r="A63" t="inlineStr">
        <is>
          <t>D-039</t>
        </is>
      </c>
      <c r="B63" t="inlineStr">
        <is>
          <t>Deliverable</t>
        </is>
      </c>
      <c r="C63">
        <f>IFERROR(VLOOKUP($A63,'Deliverables'!$A:$K,3,FALSE),"")</f>
        <v/>
      </c>
      <c r="D63">
        <f>IFERROR(VLOOKUP($A63,'Deliverables'!$A:$K,2,FALSE),"")</f>
        <v/>
      </c>
      <c r="E63">
        <f>IFERROR(VLOOKUP($A63,'Deliverables'!$A:$K,6,FALSE),"")</f>
        <v/>
      </c>
      <c r="F63">
        <f>IFERROR(IF(F63="","",G63-F63),"")</f>
        <v/>
      </c>
      <c r="G63">
        <f>IFERROR(VLOOKUP($A63,'Deliverables'!$A:$K,7,FALSE),"")</f>
        <v/>
      </c>
      <c r="H63">
        <f>IFERROR(VLOOKUP($A63,'Deliverables'!$A:$K,8,FALSE),"")</f>
        <v/>
      </c>
      <c r="I63">
        <f>IFERROR(VLOOKUP($A63,'Deliverables'!$A:$K,5,FALSE),"")</f>
        <v/>
      </c>
      <c r="J63">
        <f>IFERROR(VLOOKUP($A63,'Deliverables'!$A:$K,9,FALSE),"")</f>
        <v/>
      </c>
      <c r="K63">
        <f>IFERROR(VLOOKUP($A63,'Deliverables'!$A:$K,10,FALSE),"")</f>
        <v/>
      </c>
      <c r="L63">
        <f>IFERROR(VLOOKUP($A63,'Deliverables'!$A:$K,11,FALSE),"")</f>
        <v/>
      </c>
      <c r="M63" t="inlineStr"/>
      <c r="N63" t="inlineStr"/>
    </row>
    <row r="64">
      <c r="A64" t="inlineStr">
        <is>
          <t>D-040</t>
        </is>
      </c>
      <c r="B64" t="inlineStr">
        <is>
          <t>Deliverable</t>
        </is>
      </c>
      <c r="C64">
        <f>IFERROR(VLOOKUP($A64,'Deliverables'!$A:$K,3,FALSE),"")</f>
        <v/>
      </c>
      <c r="D64">
        <f>IFERROR(VLOOKUP($A64,'Deliverables'!$A:$K,2,FALSE),"")</f>
        <v/>
      </c>
      <c r="E64">
        <f>IFERROR(VLOOKUP($A64,'Deliverables'!$A:$K,6,FALSE),"")</f>
        <v/>
      </c>
      <c r="F64">
        <f>IFERROR(IF(F64="","",G64-F64),"")</f>
        <v/>
      </c>
      <c r="G64">
        <f>IFERROR(VLOOKUP($A64,'Deliverables'!$A:$K,7,FALSE),"")</f>
        <v/>
      </c>
      <c r="H64">
        <f>IFERROR(VLOOKUP($A64,'Deliverables'!$A:$K,8,FALSE),"")</f>
        <v/>
      </c>
      <c r="I64">
        <f>IFERROR(VLOOKUP($A64,'Deliverables'!$A:$K,5,FALSE),"")</f>
        <v/>
      </c>
      <c r="J64">
        <f>IFERROR(VLOOKUP($A64,'Deliverables'!$A:$K,9,FALSE),"")</f>
        <v/>
      </c>
      <c r="K64">
        <f>IFERROR(VLOOKUP($A64,'Deliverables'!$A:$K,10,FALSE),"")</f>
        <v/>
      </c>
      <c r="L64">
        <f>IFERROR(VLOOKUP($A64,'Deliverables'!$A:$K,11,FALSE),"")</f>
        <v/>
      </c>
      <c r="M64" t="inlineStr"/>
      <c r="N64" t="inlineStr"/>
    </row>
    <row r="65">
      <c r="A65" t="inlineStr">
        <is>
          <t>D-041</t>
        </is>
      </c>
      <c r="B65" t="inlineStr">
        <is>
          <t>Deliverable</t>
        </is>
      </c>
      <c r="C65">
        <f>IFERROR(VLOOKUP($A65,'Deliverables'!$A:$K,3,FALSE),"")</f>
        <v/>
      </c>
      <c r="D65">
        <f>IFERROR(VLOOKUP($A65,'Deliverables'!$A:$K,2,FALSE),"")</f>
        <v/>
      </c>
      <c r="E65">
        <f>IFERROR(VLOOKUP($A65,'Deliverables'!$A:$K,6,FALSE),"")</f>
        <v/>
      </c>
      <c r="F65">
        <f>IFERROR(IF(F65="","",G65-F65),"")</f>
        <v/>
      </c>
      <c r="G65">
        <f>IFERROR(VLOOKUP($A65,'Deliverables'!$A:$K,7,FALSE),"")</f>
        <v/>
      </c>
      <c r="H65">
        <f>IFERROR(VLOOKUP($A65,'Deliverables'!$A:$K,8,FALSE),"")</f>
        <v/>
      </c>
      <c r="I65">
        <f>IFERROR(VLOOKUP($A65,'Deliverables'!$A:$K,5,FALSE),"")</f>
        <v/>
      </c>
      <c r="J65">
        <f>IFERROR(VLOOKUP($A65,'Deliverables'!$A:$K,9,FALSE),"")</f>
        <v/>
      </c>
      <c r="K65">
        <f>IFERROR(VLOOKUP($A65,'Deliverables'!$A:$K,10,FALSE),"")</f>
        <v/>
      </c>
      <c r="L65">
        <f>IFERROR(VLOOKUP($A65,'Deliverables'!$A:$K,11,FALSE),"")</f>
        <v/>
      </c>
      <c r="M65" t="inlineStr"/>
      <c r="N65" t="inlineStr"/>
    </row>
    <row r="66">
      <c r="A66" t="inlineStr">
        <is>
          <t>D-042</t>
        </is>
      </c>
      <c r="B66" t="inlineStr">
        <is>
          <t>Deliverable</t>
        </is>
      </c>
      <c r="C66">
        <f>IFERROR(VLOOKUP($A66,'Deliverables'!$A:$K,3,FALSE),"")</f>
        <v/>
      </c>
      <c r="D66">
        <f>IFERROR(VLOOKUP($A66,'Deliverables'!$A:$K,2,FALSE),"")</f>
        <v/>
      </c>
      <c r="E66">
        <f>IFERROR(VLOOKUP($A66,'Deliverables'!$A:$K,6,FALSE),"")</f>
        <v/>
      </c>
      <c r="F66">
        <f>IFERROR(IF(F66="","",G66-F66),"")</f>
        <v/>
      </c>
      <c r="G66">
        <f>IFERROR(VLOOKUP($A66,'Deliverables'!$A:$K,7,FALSE),"")</f>
        <v/>
      </c>
      <c r="H66">
        <f>IFERROR(VLOOKUP($A66,'Deliverables'!$A:$K,8,FALSE),"")</f>
        <v/>
      </c>
      <c r="I66">
        <f>IFERROR(VLOOKUP($A66,'Deliverables'!$A:$K,5,FALSE),"")</f>
        <v/>
      </c>
      <c r="J66">
        <f>IFERROR(VLOOKUP($A66,'Deliverables'!$A:$K,9,FALSE),"")</f>
        <v/>
      </c>
      <c r="K66">
        <f>IFERROR(VLOOKUP($A66,'Deliverables'!$A:$K,10,FALSE),"")</f>
        <v/>
      </c>
      <c r="L66">
        <f>IFERROR(VLOOKUP($A66,'Deliverables'!$A:$K,11,FALSE),"")</f>
        <v/>
      </c>
      <c r="M66" t="inlineStr"/>
      <c r="N66" t="inlineStr"/>
    </row>
    <row r="67">
      <c r="A67" t="inlineStr">
        <is>
          <t>D-043</t>
        </is>
      </c>
      <c r="B67" t="inlineStr">
        <is>
          <t>Deliverable</t>
        </is>
      </c>
      <c r="C67">
        <f>IFERROR(VLOOKUP($A67,'Deliverables'!$A:$K,3,FALSE),"")</f>
        <v/>
      </c>
      <c r="D67">
        <f>IFERROR(VLOOKUP($A67,'Deliverables'!$A:$K,2,FALSE),"")</f>
        <v/>
      </c>
      <c r="E67">
        <f>IFERROR(VLOOKUP($A67,'Deliverables'!$A:$K,6,FALSE),"")</f>
        <v/>
      </c>
      <c r="F67">
        <f>IFERROR(IF(F67="","",G67-F67),"")</f>
        <v/>
      </c>
      <c r="G67">
        <f>IFERROR(VLOOKUP($A67,'Deliverables'!$A:$K,7,FALSE),"")</f>
        <v/>
      </c>
      <c r="H67">
        <f>IFERROR(VLOOKUP($A67,'Deliverables'!$A:$K,8,FALSE),"")</f>
        <v/>
      </c>
      <c r="I67">
        <f>IFERROR(VLOOKUP($A67,'Deliverables'!$A:$K,5,FALSE),"")</f>
        <v/>
      </c>
      <c r="J67">
        <f>IFERROR(VLOOKUP($A67,'Deliverables'!$A:$K,9,FALSE),"")</f>
        <v/>
      </c>
      <c r="K67">
        <f>IFERROR(VLOOKUP($A67,'Deliverables'!$A:$K,10,FALSE),"")</f>
        <v/>
      </c>
      <c r="L67">
        <f>IFERROR(VLOOKUP($A67,'Deliverables'!$A:$K,11,FALSE),"")</f>
        <v/>
      </c>
      <c r="M67" t="inlineStr"/>
      <c r="N67" t="inlineStr"/>
    </row>
    <row r="68">
      <c r="A68" t="inlineStr">
        <is>
          <t>D-044</t>
        </is>
      </c>
      <c r="B68" t="inlineStr">
        <is>
          <t>Deliverable</t>
        </is>
      </c>
      <c r="C68">
        <f>IFERROR(VLOOKUP($A68,'Deliverables'!$A:$K,3,FALSE),"")</f>
        <v/>
      </c>
      <c r="D68">
        <f>IFERROR(VLOOKUP($A68,'Deliverables'!$A:$K,2,FALSE),"")</f>
        <v/>
      </c>
      <c r="E68">
        <f>IFERROR(VLOOKUP($A68,'Deliverables'!$A:$K,6,FALSE),"")</f>
        <v/>
      </c>
      <c r="F68">
        <f>IFERROR(IF(F68="","",G68-F68),"")</f>
        <v/>
      </c>
      <c r="G68">
        <f>IFERROR(VLOOKUP($A68,'Deliverables'!$A:$K,7,FALSE),"")</f>
        <v/>
      </c>
      <c r="H68">
        <f>IFERROR(VLOOKUP($A68,'Deliverables'!$A:$K,8,FALSE),"")</f>
        <v/>
      </c>
      <c r="I68">
        <f>IFERROR(VLOOKUP($A68,'Deliverables'!$A:$K,5,FALSE),"")</f>
        <v/>
      </c>
      <c r="J68">
        <f>IFERROR(VLOOKUP($A68,'Deliverables'!$A:$K,9,FALSE),"")</f>
        <v/>
      </c>
      <c r="K68">
        <f>IFERROR(VLOOKUP($A68,'Deliverables'!$A:$K,10,FALSE),"")</f>
        <v/>
      </c>
      <c r="L68">
        <f>IFERROR(VLOOKUP($A68,'Deliverables'!$A:$K,11,FALSE),"")</f>
        <v/>
      </c>
      <c r="M68" t="inlineStr"/>
      <c r="N68" t="inlineStr"/>
    </row>
    <row r="69">
      <c r="A69" t="inlineStr">
        <is>
          <t>D-045</t>
        </is>
      </c>
      <c r="B69" t="inlineStr">
        <is>
          <t>Deliverable</t>
        </is>
      </c>
      <c r="C69">
        <f>IFERROR(VLOOKUP($A69,'Deliverables'!$A:$K,3,FALSE),"")</f>
        <v/>
      </c>
      <c r="D69">
        <f>IFERROR(VLOOKUP($A69,'Deliverables'!$A:$K,2,FALSE),"")</f>
        <v/>
      </c>
      <c r="E69">
        <f>IFERROR(VLOOKUP($A69,'Deliverables'!$A:$K,6,FALSE),"")</f>
        <v/>
      </c>
      <c r="F69">
        <f>IFERROR(IF(F69="","",G69-F69),"")</f>
        <v/>
      </c>
      <c r="G69">
        <f>IFERROR(VLOOKUP($A69,'Deliverables'!$A:$K,7,FALSE),"")</f>
        <v/>
      </c>
      <c r="H69">
        <f>IFERROR(VLOOKUP($A69,'Deliverables'!$A:$K,8,FALSE),"")</f>
        <v/>
      </c>
      <c r="I69">
        <f>IFERROR(VLOOKUP($A69,'Deliverables'!$A:$K,5,FALSE),"")</f>
        <v/>
      </c>
      <c r="J69">
        <f>IFERROR(VLOOKUP($A69,'Deliverables'!$A:$K,9,FALSE),"")</f>
        <v/>
      </c>
      <c r="K69">
        <f>IFERROR(VLOOKUP($A69,'Deliverables'!$A:$K,10,FALSE),"")</f>
        <v/>
      </c>
      <c r="L69">
        <f>IFERROR(VLOOKUP($A69,'Deliverables'!$A:$K,11,FALSE),"")</f>
        <v/>
      </c>
      <c r="M69" t="inlineStr"/>
      <c r="N69" t="inlineStr"/>
    </row>
    <row r="70">
      <c r="A70" t="inlineStr">
        <is>
          <t>D-046</t>
        </is>
      </c>
      <c r="B70" t="inlineStr">
        <is>
          <t>Deliverable</t>
        </is>
      </c>
      <c r="C70">
        <f>IFERROR(VLOOKUP($A70,'Deliverables'!$A:$K,3,FALSE),"")</f>
        <v/>
      </c>
      <c r="D70">
        <f>IFERROR(VLOOKUP($A70,'Deliverables'!$A:$K,2,FALSE),"")</f>
        <v/>
      </c>
      <c r="E70">
        <f>IFERROR(VLOOKUP($A70,'Deliverables'!$A:$K,6,FALSE),"")</f>
        <v/>
      </c>
      <c r="F70">
        <f>IFERROR(IF(F70="","",G70-F70),"")</f>
        <v/>
      </c>
      <c r="G70">
        <f>IFERROR(VLOOKUP($A70,'Deliverables'!$A:$K,7,FALSE),"")</f>
        <v/>
      </c>
      <c r="H70">
        <f>IFERROR(VLOOKUP($A70,'Deliverables'!$A:$K,8,FALSE),"")</f>
        <v/>
      </c>
      <c r="I70">
        <f>IFERROR(VLOOKUP($A70,'Deliverables'!$A:$K,5,FALSE),"")</f>
        <v/>
      </c>
      <c r="J70">
        <f>IFERROR(VLOOKUP($A70,'Deliverables'!$A:$K,9,FALSE),"")</f>
        <v/>
      </c>
      <c r="K70">
        <f>IFERROR(VLOOKUP($A70,'Deliverables'!$A:$K,10,FALSE),"")</f>
        <v/>
      </c>
      <c r="L70">
        <f>IFERROR(VLOOKUP($A70,'Deliverables'!$A:$K,11,FALSE),"")</f>
        <v/>
      </c>
      <c r="M70" t="inlineStr"/>
      <c r="N70" t="inlineStr"/>
    </row>
    <row r="71">
      <c r="A71" t="inlineStr">
        <is>
          <t>D-047</t>
        </is>
      </c>
      <c r="B71" t="inlineStr">
        <is>
          <t>Deliverable</t>
        </is>
      </c>
      <c r="C71">
        <f>IFERROR(VLOOKUP($A71,'Deliverables'!$A:$K,3,FALSE),"")</f>
        <v/>
      </c>
      <c r="D71">
        <f>IFERROR(VLOOKUP($A71,'Deliverables'!$A:$K,2,FALSE),"")</f>
        <v/>
      </c>
      <c r="E71">
        <f>IFERROR(VLOOKUP($A71,'Deliverables'!$A:$K,6,FALSE),"")</f>
        <v/>
      </c>
      <c r="F71">
        <f>IFERROR(IF(F71="","",G71-F71),"")</f>
        <v/>
      </c>
      <c r="G71">
        <f>IFERROR(VLOOKUP($A71,'Deliverables'!$A:$K,7,FALSE),"")</f>
        <v/>
      </c>
      <c r="H71">
        <f>IFERROR(VLOOKUP($A71,'Deliverables'!$A:$K,8,FALSE),"")</f>
        <v/>
      </c>
      <c r="I71">
        <f>IFERROR(VLOOKUP($A71,'Deliverables'!$A:$K,5,FALSE),"")</f>
        <v/>
      </c>
      <c r="J71">
        <f>IFERROR(VLOOKUP($A71,'Deliverables'!$A:$K,9,FALSE),"")</f>
        <v/>
      </c>
      <c r="K71">
        <f>IFERROR(VLOOKUP($A71,'Deliverables'!$A:$K,10,FALSE),"")</f>
        <v/>
      </c>
      <c r="L71">
        <f>IFERROR(VLOOKUP($A71,'Deliverables'!$A:$K,11,FALSE),"")</f>
        <v/>
      </c>
      <c r="M71" t="inlineStr"/>
      <c r="N71" t="inlineStr"/>
    </row>
    <row r="72">
      <c r="A72" t="inlineStr">
        <is>
          <t>D-048</t>
        </is>
      </c>
      <c r="B72" t="inlineStr">
        <is>
          <t>Deliverable</t>
        </is>
      </c>
      <c r="C72">
        <f>IFERROR(VLOOKUP($A72,'Deliverables'!$A:$K,3,FALSE),"")</f>
        <v/>
      </c>
      <c r="D72">
        <f>IFERROR(VLOOKUP($A72,'Deliverables'!$A:$K,2,FALSE),"")</f>
        <v/>
      </c>
      <c r="E72">
        <f>IFERROR(VLOOKUP($A72,'Deliverables'!$A:$K,6,FALSE),"")</f>
        <v/>
      </c>
      <c r="F72">
        <f>IFERROR(IF(F72="","",G72-F72),"")</f>
        <v/>
      </c>
      <c r="G72">
        <f>IFERROR(VLOOKUP($A72,'Deliverables'!$A:$K,7,FALSE),"")</f>
        <v/>
      </c>
      <c r="H72">
        <f>IFERROR(VLOOKUP($A72,'Deliverables'!$A:$K,8,FALSE),"")</f>
        <v/>
      </c>
      <c r="I72">
        <f>IFERROR(VLOOKUP($A72,'Deliverables'!$A:$K,5,FALSE),"")</f>
        <v/>
      </c>
      <c r="J72">
        <f>IFERROR(VLOOKUP($A72,'Deliverables'!$A:$K,9,FALSE),"")</f>
        <v/>
      </c>
      <c r="K72">
        <f>IFERROR(VLOOKUP($A72,'Deliverables'!$A:$K,10,FALSE),"")</f>
        <v/>
      </c>
      <c r="L72">
        <f>IFERROR(VLOOKUP($A72,'Deliverables'!$A:$K,11,FALSE),"")</f>
        <v/>
      </c>
      <c r="M72" t="inlineStr"/>
      <c r="N72" t="inlineStr"/>
    </row>
    <row r="73">
      <c r="A73" t="inlineStr">
        <is>
          <t>D-049</t>
        </is>
      </c>
      <c r="B73" t="inlineStr">
        <is>
          <t>Deliverable</t>
        </is>
      </c>
      <c r="C73">
        <f>IFERROR(VLOOKUP($A73,'Deliverables'!$A:$K,3,FALSE),"")</f>
        <v/>
      </c>
      <c r="D73">
        <f>IFERROR(VLOOKUP($A73,'Deliverables'!$A:$K,2,FALSE),"")</f>
        <v/>
      </c>
      <c r="E73">
        <f>IFERROR(VLOOKUP($A73,'Deliverables'!$A:$K,6,FALSE),"")</f>
        <v/>
      </c>
      <c r="F73">
        <f>IFERROR(IF(F73="","",G73-F73),"")</f>
        <v/>
      </c>
      <c r="G73">
        <f>IFERROR(VLOOKUP($A73,'Deliverables'!$A:$K,7,FALSE),"")</f>
        <v/>
      </c>
      <c r="H73">
        <f>IFERROR(VLOOKUP($A73,'Deliverables'!$A:$K,8,FALSE),"")</f>
        <v/>
      </c>
      <c r="I73">
        <f>IFERROR(VLOOKUP($A73,'Deliverables'!$A:$K,5,FALSE),"")</f>
        <v/>
      </c>
      <c r="J73">
        <f>IFERROR(VLOOKUP($A73,'Deliverables'!$A:$K,9,FALSE),"")</f>
        <v/>
      </c>
      <c r="K73">
        <f>IFERROR(VLOOKUP($A73,'Deliverables'!$A:$K,10,FALSE),"")</f>
        <v/>
      </c>
      <c r="L73">
        <f>IFERROR(VLOOKUP($A73,'Deliverables'!$A:$K,11,FALSE),"")</f>
        <v/>
      </c>
      <c r="M73" t="inlineStr"/>
      <c r="N73" t="inlineStr"/>
    </row>
    <row r="74">
      <c r="A74" t="inlineStr">
        <is>
          <t>D-050</t>
        </is>
      </c>
      <c r="B74" t="inlineStr">
        <is>
          <t>Deliverable</t>
        </is>
      </c>
      <c r="C74">
        <f>IFERROR(VLOOKUP($A74,'Deliverables'!$A:$K,3,FALSE),"")</f>
        <v/>
      </c>
      <c r="D74">
        <f>IFERROR(VLOOKUP($A74,'Deliverables'!$A:$K,2,FALSE),"")</f>
        <v/>
      </c>
      <c r="E74">
        <f>IFERROR(VLOOKUP($A74,'Deliverables'!$A:$K,6,FALSE),"")</f>
        <v/>
      </c>
      <c r="F74">
        <f>IFERROR(IF(F74="","",G74-F74),"")</f>
        <v/>
      </c>
      <c r="G74">
        <f>IFERROR(VLOOKUP($A74,'Deliverables'!$A:$K,7,FALSE),"")</f>
        <v/>
      </c>
      <c r="H74">
        <f>IFERROR(VLOOKUP($A74,'Deliverables'!$A:$K,8,FALSE),"")</f>
        <v/>
      </c>
      <c r="I74">
        <f>IFERROR(VLOOKUP($A74,'Deliverables'!$A:$K,5,FALSE),"")</f>
        <v/>
      </c>
      <c r="J74">
        <f>IFERROR(VLOOKUP($A74,'Deliverables'!$A:$K,9,FALSE),"")</f>
        <v/>
      </c>
      <c r="K74">
        <f>IFERROR(VLOOKUP($A74,'Deliverables'!$A:$K,10,FALSE),"")</f>
        <v/>
      </c>
      <c r="L74">
        <f>IFERROR(VLOOKUP($A74,'Deliverables'!$A:$K,11,FALSE),"")</f>
        <v/>
      </c>
      <c r="M74" t="inlineStr"/>
      <c r="N74" t="inlineStr"/>
    </row>
    <row r="75">
      <c r="A75" t="inlineStr">
        <is>
          <t>D-051</t>
        </is>
      </c>
      <c r="B75" t="inlineStr">
        <is>
          <t>Deliverable</t>
        </is>
      </c>
      <c r="C75">
        <f>IFERROR(VLOOKUP($A75,'Deliverables'!$A:$K,3,FALSE),"")</f>
        <v/>
      </c>
      <c r="D75">
        <f>IFERROR(VLOOKUP($A75,'Deliverables'!$A:$K,2,FALSE),"")</f>
        <v/>
      </c>
      <c r="E75">
        <f>IFERROR(VLOOKUP($A75,'Deliverables'!$A:$K,6,FALSE),"")</f>
        <v/>
      </c>
      <c r="F75">
        <f>IFERROR(IF(F75="","",G75-F75),"")</f>
        <v/>
      </c>
      <c r="G75">
        <f>IFERROR(VLOOKUP($A75,'Deliverables'!$A:$K,7,FALSE),"")</f>
        <v/>
      </c>
      <c r="H75">
        <f>IFERROR(VLOOKUP($A75,'Deliverables'!$A:$K,8,FALSE),"")</f>
        <v/>
      </c>
      <c r="I75">
        <f>IFERROR(VLOOKUP($A75,'Deliverables'!$A:$K,5,FALSE),"")</f>
        <v/>
      </c>
      <c r="J75">
        <f>IFERROR(VLOOKUP($A75,'Deliverables'!$A:$K,9,FALSE),"")</f>
        <v/>
      </c>
      <c r="K75">
        <f>IFERROR(VLOOKUP($A75,'Deliverables'!$A:$K,10,FALSE),"")</f>
        <v/>
      </c>
      <c r="L75">
        <f>IFERROR(VLOOKUP($A75,'Deliverables'!$A:$K,11,FALSE),"")</f>
        <v/>
      </c>
      <c r="M75" t="inlineStr"/>
      <c r="N75" t="inlineStr"/>
    </row>
    <row r="76">
      <c r="A76" t="inlineStr">
        <is>
          <t>D-052</t>
        </is>
      </c>
      <c r="B76" t="inlineStr">
        <is>
          <t>Deliverable</t>
        </is>
      </c>
      <c r="C76">
        <f>IFERROR(VLOOKUP($A76,'Deliverables'!$A:$K,3,FALSE),"")</f>
        <v/>
      </c>
      <c r="D76">
        <f>IFERROR(VLOOKUP($A76,'Deliverables'!$A:$K,2,FALSE),"")</f>
        <v/>
      </c>
      <c r="E76">
        <f>IFERROR(VLOOKUP($A76,'Deliverables'!$A:$K,6,FALSE),"")</f>
        <v/>
      </c>
      <c r="F76">
        <f>IFERROR(IF(F76="","",G76-F76),"")</f>
        <v/>
      </c>
      <c r="G76">
        <f>IFERROR(VLOOKUP($A76,'Deliverables'!$A:$K,7,FALSE),"")</f>
        <v/>
      </c>
      <c r="H76">
        <f>IFERROR(VLOOKUP($A76,'Deliverables'!$A:$K,8,FALSE),"")</f>
        <v/>
      </c>
      <c r="I76">
        <f>IFERROR(VLOOKUP($A76,'Deliverables'!$A:$K,5,FALSE),"")</f>
        <v/>
      </c>
      <c r="J76">
        <f>IFERROR(VLOOKUP($A76,'Deliverables'!$A:$K,9,FALSE),"")</f>
        <v/>
      </c>
      <c r="K76">
        <f>IFERROR(VLOOKUP($A76,'Deliverables'!$A:$K,10,FALSE),"")</f>
        <v/>
      </c>
      <c r="L76">
        <f>IFERROR(VLOOKUP($A76,'Deliverables'!$A:$K,11,FALSE),"")</f>
        <v/>
      </c>
      <c r="M76" t="inlineStr"/>
      <c r="N76" t="inlineStr"/>
    </row>
    <row r="77">
      <c r="A77" t="inlineStr">
        <is>
          <t>D-053</t>
        </is>
      </c>
      <c r="B77" t="inlineStr">
        <is>
          <t>Deliverable</t>
        </is>
      </c>
      <c r="C77">
        <f>IFERROR(VLOOKUP($A77,'Deliverables'!$A:$K,3,FALSE),"")</f>
        <v/>
      </c>
      <c r="D77">
        <f>IFERROR(VLOOKUP($A77,'Deliverables'!$A:$K,2,FALSE),"")</f>
        <v/>
      </c>
      <c r="E77">
        <f>IFERROR(VLOOKUP($A77,'Deliverables'!$A:$K,6,FALSE),"")</f>
        <v/>
      </c>
      <c r="F77">
        <f>IFERROR(IF(F77="","",G77-F77),"")</f>
        <v/>
      </c>
      <c r="G77">
        <f>IFERROR(VLOOKUP($A77,'Deliverables'!$A:$K,7,FALSE),"")</f>
        <v/>
      </c>
      <c r="H77">
        <f>IFERROR(VLOOKUP($A77,'Deliverables'!$A:$K,8,FALSE),"")</f>
        <v/>
      </c>
      <c r="I77">
        <f>IFERROR(VLOOKUP($A77,'Deliverables'!$A:$K,5,FALSE),"")</f>
        <v/>
      </c>
      <c r="J77">
        <f>IFERROR(VLOOKUP($A77,'Deliverables'!$A:$K,9,FALSE),"")</f>
        <v/>
      </c>
      <c r="K77">
        <f>IFERROR(VLOOKUP($A77,'Deliverables'!$A:$K,10,FALSE),"")</f>
        <v/>
      </c>
      <c r="L77">
        <f>IFERROR(VLOOKUP($A77,'Deliverables'!$A:$K,11,FALSE),"")</f>
        <v/>
      </c>
      <c r="M77" t="inlineStr"/>
      <c r="N77" t="inlineStr"/>
    </row>
    <row r="78">
      <c r="A78" t="inlineStr">
        <is>
          <t>D-054</t>
        </is>
      </c>
      <c r="B78" t="inlineStr">
        <is>
          <t>Deliverable</t>
        </is>
      </c>
      <c r="C78">
        <f>IFERROR(VLOOKUP($A78,'Deliverables'!$A:$K,3,FALSE),"")</f>
        <v/>
      </c>
      <c r="D78">
        <f>IFERROR(VLOOKUP($A78,'Deliverables'!$A:$K,2,FALSE),"")</f>
        <v/>
      </c>
      <c r="E78">
        <f>IFERROR(VLOOKUP($A78,'Deliverables'!$A:$K,6,FALSE),"")</f>
        <v/>
      </c>
      <c r="F78">
        <f>IFERROR(IF(F78="","",G78-F78),"")</f>
        <v/>
      </c>
      <c r="G78">
        <f>IFERROR(VLOOKUP($A78,'Deliverables'!$A:$K,7,FALSE),"")</f>
        <v/>
      </c>
      <c r="H78">
        <f>IFERROR(VLOOKUP($A78,'Deliverables'!$A:$K,8,FALSE),"")</f>
        <v/>
      </c>
      <c r="I78">
        <f>IFERROR(VLOOKUP($A78,'Deliverables'!$A:$K,5,FALSE),"")</f>
        <v/>
      </c>
      <c r="J78">
        <f>IFERROR(VLOOKUP($A78,'Deliverables'!$A:$K,9,FALSE),"")</f>
        <v/>
      </c>
      <c r="K78">
        <f>IFERROR(VLOOKUP($A78,'Deliverables'!$A:$K,10,FALSE),"")</f>
        <v/>
      </c>
      <c r="L78">
        <f>IFERROR(VLOOKUP($A78,'Deliverables'!$A:$K,11,FALSE),"")</f>
        <v/>
      </c>
      <c r="M78" t="inlineStr"/>
      <c r="N78" t="inlineStr"/>
    </row>
    <row r="79">
      <c r="A79" t="inlineStr">
        <is>
          <t>D-055</t>
        </is>
      </c>
      <c r="B79" t="inlineStr">
        <is>
          <t>Deliverable</t>
        </is>
      </c>
      <c r="C79">
        <f>IFERROR(VLOOKUP($A79,'Deliverables'!$A:$K,3,FALSE),"")</f>
        <v/>
      </c>
      <c r="D79">
        <f>IFERROR(VLOOKUP($A79,'Deliverables'!$A:$K,2,FALSE),"")</f>
        <v/>
      </c>
      <c r="E79">
        <f>IFERROR(VLOOKUP($A79,'Deliverables'!$A:$K,6,FALSE),"")</f>
        <v/>
      </c>
      <c r="F79">
        <f>IFERROR(IF(F79="","",G79-F79),"")</f>
        <v/>
      </c>
      <c r="G79">
        <f>IFERROR(VLOOKUP($A79,'Deliverables'!$A:$K,7,FALSE),"")</f>
        <v/>
      </c>
      <c r="H79">
        <f>IFERROR(VLOOKUP($A79,'Deliverables'!$A:$K,8,FALSE),"")</f>
        <v/>
      </c>
      <c r="I79">
        <f>IFERROR(VLOOKUP($A79,'Deliverables'!$A:$K,5,FALSE),"")</f>
        <v/>
      </c>
      <c r="J79">
        <f>IFERROR(VLOOKUP($A79,'Deliverables'!$A:$K,9,FALSE),"")</f>
        <v/>
      </c>
      <c r="K79">
        <f>IFERROR(VLOOKUP($A79,'Deliverables'!$A:$K,10,FALSE),"")</f>
        <v/>
      </c>
      <c r="L79">
        <f>IFERROR(VLOOKUP($A79,'Deliverables'!$A:$K,11,FALSE),"")</f>
        <v/>
      </c>
      <c r="M79" t="inlineStr"/>
      <c r="N79" t="inlineStr"/>
    </row>
    <row r="80">
      <c r="A80" t="inlineStr">
        <is>
          <t>D-056</t>
        </is>
      </c>
      <c r="B80" t="inlineStr">
        <is>
          <t>Deliverable</t>
        </is>
      </c>
      <c r="C80">
        <f>IFERROR(VLOOKUP($A80,'Deliverables'!$A:$K,3,FALSE),"")</f>
        <v/>
      </c>
      <c r="D80">
        <f>IFERROR(VLOOKUP($A80,'Deliverables'!$A:$K,2,FALSE),"")</f>
        <v/>
      </c>
      <c r="E80">
        <f>IFERROR(VLOOKUP($A80,'Deliverables'!$A:$K,6,FALSE),"")</f>
        <v/>
      </c>
      <c r="F80">
        <f>IFERROR(IF(F80="","",G80-F80),"")</f>
        <v/>
      </c>
      <c r="G80">
        <f>IFERROR(VLOOKUP($A80,'Deliverables'!$A:$K,7,FALSE),"")</f>
        <v/>
      </c>
      <c r="H80">
        <f>IFERROR(VLOOKUP($A80,'Deliverables'!$A:$K,8,FALSE),"")</f>
        <v/>
      </c>
      <c r="I80">
        <f>IFERROR(VLOOKUP($A80,'Deliverables'!$A:$K,5,FALSE),"")</f>
        <v/>
      </c>
      <c r="J80">
        <f>IFERROR(VLOOKUP($A80,'Deliverables'!$A:$K,9,FALSE),"")</f>
        <v/>
      </c>
      <c r="K80">
        <f>IFERROR(VLOOKUP($A80,'Deliverables'!$A:$K,10,FALSE),"")</f>
        <v/>
      </c>
      <c r="L80">
        <f>IFERROR(VLOOKUP($A80,'Deliverables'!$A:$K,11,FALSE),"")</f>
        <v/>
      </c>
      <c r="M80" t="inlineStr"/>
      <c r="N80" t="inlineStr"/>
    </row>
    <row r="81">
      <c r="A81" t="inlineStr">
        <is>
          <t>D-057</t>
        </is>
      </c>
      <c r="B81" t="inlineStr">
        <is>
          <t>Deliverable</t>
        </is>
      </c>
      <c r="C81">
        <f>IFERROR(VLOOKUP($A81,'Deliverables'!$A:$K,3,FALSE),"")</f>
        <v/>
      </c>
      <c r="D81">
        <f>IFERROR(VLOOKUP($A81,'Deliverables'!$A:$K,2,FALSE),"")</f>
        <v/>
      </c>
      <c r="E81">
        <f>IFERROR(VLOOKUP($A81,'Deliverables'!$A:$K,6,FALSE),"")</f>
        <v/>
      </c>
      <c r="F81">
        <f>IFERROR(IF(F81="","",G81-F81),"")</f>
        <v/>
      </c>
      <c r="G81">
        <f>IFERROR(VLOOKUP($A81,'Deliverables'!$A:$K,7,FALSE),"")</f>
        <v/>
      </c>
      <c r="H81">
        <f>IFERROR(VLOOKUP($A81,'Deliverables'!$A:$K,8,FALSE),"")</f>
        <v/>
      </c>
      <c r="I81">
        <f>IFERROR(VLOOKUP($A81,'Deliverables'!$A:$K,5,FALSE),"")</f>
        <v/>
      </c>
      <c r="J81">
        <f>IFERROR(VLOOKUP($A81,'Deliverables'!$A:$K,9,FALSE),"")</f>
        <v/>
      </c>
      <c r="K81">
        <f>IFERROR(VLOOKUP($A81,'Deliverables'!$A:$K,10,FALSE),"")</f>
        <v/>
      </c>
      <c r="L81">
        <f>IFERROR(VLOOKUP($A81,'Deliverables'!$A:$K,11,FALSE),"")</f>
        <v/>
      </c>
      <c r="M81" t="inlineStr"/>
      <c r="N81" t="inlineStr"/>
    </row>
    <row r="82">
      <c r="A82" t="inlineStr">
        <is>
          <t>D-058</t>
        </is>
      </c>
      <c r="B82" t="inlineStr">
        <is>
          <t>Deliverable</t>
        </is>
      </c>
      <c r="C82">
        <f>IFERROR(VLOOKUP($A82,'Deliverables'!$A:$K,3,FALSE),"")</f>
        <v/>
      </c>
      <c r="D82">
        <f>IFERROR(VLOOKUP($A82,'Deliverables'!$A:$K,2,FALSE),"")</f>
        <v/>
      </c>
      <c r="E82">
        <f>IFERROR(VLOOKUP($A82,'Deliverables'!$A:$K,6,FALSE),"")</f>
        <v/>
      </c>
      <c r="F82">
        <f>IFERROR(IF(F82="","",G82-F82),"")</f>
        <v/>
      </c>
      <c r="G82">
        <f>IFERROR(VLOOKUP($A82,'Deliverables'!$A:$K,7,FALSE),"")</f>
        <v/>
      </c>
      <c r="H82">
        <f>IFERROR(VLOOKUP($A82,'Deliverables'!$A:$K,8,FALSE),"")</f>
        <v/>
      </c>
      <c r="I82">
        <f>IFERROR(VLOOKUP($A82,'Deliverables'!$A:$K,5,FALSE),"")</f>
        <v/>
      </c>
      <c r="J82">
        <f>IFERROR(VLOOKUP($A82,'Deliverables'!$A:$K,9,FALSE),"")</f>
        <v/>
      </c>
      <c r="K82">
        <f>IFERROR(VLOOKUP($A82,'Deliverables'!$A:$K,10,FALSE),"")</f>
        <v/>
      </c>
      <c r="L82">
        <f>IFERROR(VLOOKUP($A82,'Deliverables'!$A:$K,11,FALSE),"")</f>
        <v/>
      </c>
      <c r="M82" t="inlineStr"/>
      <c r="N82" t="inlineStr"/>
    </row>
    <row r="83">
      <c r="A83" t="inlineStr">
        <is>
          <t>D-059</t>
        </is>
      </c>
      <c r="B83" t="inlineStr">
        <is>
          <t>Deliverable</t>
        </is>
      </c>
      <c r="C83">
        <f>IFERROR(VLOOKUP($A83,'Deliverables'!$A:$K,3,FALSE),"")</f>
        <v/>
      </c>
      <c r="D83">
        <f>IFERROR(VLOOKUP($A83,'Deliverables'!$A:$K,2,FALSE),"")</f>
        <v/>
      </c>
      <c r="E83">
        <f>IFERROR(VLOOKUP($A83,'Deliverables'!$A:$K,6,FALSE),"")</f>
        <v/>
      </c>
      <c r="F83">
        <f>IFERROR(IF(F83="","",G83-F83),"")</f>
        <v/>
      </c>
      <c r="G83">
        <f>IFERROR(VLOOKUP($A83,'Deliverables'!$A:$K,7,FALSE),"")</f>
        <v/>
      </c>
      <c r="H83">
        <f>IFERROR(VLOOKUP($A83,'Deliverables'!$A:$K,8,FALSE),"")</f>
        <v/>
      </c>
      <c r="I83">
        <f>IFERROR(VLOOKUP($A83,'Deliverables'!$A:$K,5,FALSE),"")</f>
        <v/>
      </c>
      <c r="J83">
        <f>IFERROR(VLOOKUP($A83,'Deliverables'!$A:$K,9,FALSE),"")</f>
        <v/>
      </c>
      <c r="K83">
        <f>IFERROR(VLOOKUP($A83,'Deliverables'!$A:$K,10,FALSE),"")</f>
        <v/>
      </c>
      <c r="L83">
        <f>IFERROR(VLOOKUP($A83,'Deliverables'!$A:$K,11,FALSE),"")</f>
        <v/>
      </c>
      <c r="M83" t="inlineStr"/>
      <c r="N83" t="inlineStr"/>
    </row>
    <row r="84">
      <c r="A84" t="inlineStr">
        <is>
          <t>D-060</t>
        </is>
      </c>
      <c r="B84" t="inlineStr">
        <is>
          <t>Deliverable</t>
        </is>
      </c>
      <c r="C84">
        <f>IFERROR(VLOOKUP($A84,'Deliverables'!$A:$K,3,FALSE),"")</f>
        <v/>
      </c>
      <c r="D84">
        <f>IFERROR(VLOOKUP($A84,'Deliverables'!$A:$K,2,FALSE),"")</f>
        <v/>
      </c>
      <c r="E84">
        <f>IFERROR(VLOOKUP($A84,'Deliverables'!$A:$K,6,FALSE),"")</f>
        <v/>
      </c>
      <c r="F84">
        <f>IFERROR(IF(F84="","",G84-F84),"")</f>
        <v/>
      </c>
      <c r="G84">
        <f>IFERROR(VLOOKUP($A84,'Deliverables'!$A:$K,7,FALSE),"")</f>
        <v/>
      </c>
      <c r="H84">
        <f>IFERROR(VLOOKUP($A84,'Deliverables'!$A:$K,8,FALSE),"")</f>
        <v/>
      </c>
      <c r="I84">
        <f>IFERROR(VLOOKUP($A84,'Deliverables'!$A:$K,5,FALSE),"")</f>
        <v/>
      </c>
      <c r="J84">
        <f>IFERROR(VLOOKUP($A84,'Deliverables'!$A:$K,9,FALSE),"")</f>
        <v/>
      </c>
      <c r="K84">
        <f>IFERROR(VLOOKUP($A84,'Deliverables'!$A:$K,10,FALSE),"")</f>
        <v/>
      </c>
      <c r="L84">
        <f>IFERROR(VLOOKUP($A84,'Deliverables'!$A:$K,11,FALSE),"")</f>
        <v/>
      </c>
      <c r="M84" t="inlineStr"/>
      <c r="N84" t="inlineStr"/>
    </row>
    <row r="85">
      <c r="A85" t="inlineStr">
        <is>
          <t>D-061</t>
        </is>
      </c>
      <c r="B85" t="inlineStr">
        <is>
          <t>Deliverable</t>
        </is>
      </c>
      <c r="C85">
        <f>IFERROR(VLOOKUP($A85,'Deliverables'!$A:$K,3,FALSE),"")</f>
        <v/>
      </c>
      <c r="D85">
        <f>IFERROR(VLOOKUP($A85,'Deliverables'!$A:$K,2,FALSE),"")</f>
        <v/>
      </c>
      <c r="E85">
        <f>IFERROR(VLOOKUP($A85,'Deliverables'!$A:$K,6,FALSE),"")</f>
        <v/>
      </c>
      <c r="F85">
        <f>IFERROR(IF(F85="","",G85-F85),"")</f>
        <v/>
      </c>
      <c r="G85">
        <f>IFERROR(VLOOKUP($A85,'Deliverables'!$A:$K,7,FALSE),"")</f>
        <v/>
      </c>
      <c r="H85">
        <f>IFERROR(VLOOKUP($A85,'Deliverables'!$A:$K,8,FALSE),"")</f>
        <v/>
      </c>
      <c r="I85">
        <f>IFERROR(VLOOKUP($A85,'Deliverables'!$A:$K,5,FALSE),"")</f>
        <v/>
      </c>
      <c r="J85">
        <f>IFERROR(VLOOKUP($A85,'Deliverables'!$A:$K,9,FALSE),"")</f>
        <v/>
      </c>
      <c r="K85">
        <f>IFERROR(VLOOKUP($A85,'Deliverables'!$A:$K,10,FALSE),"")</f>
        <v/>
      </c>
      <c r="L85">
        <f>IFERROR(VLOOKUP($A85,'Deliverables'!$A:$K,11,FALSE),"")</f>
        <v/>
      </c>
      <c r="M85" t="inlineStr"/>
      <c r="N85" t="inlineStr"/>
    </row>
    <row r="86">
      <c r="A86" t="inlineStr">
        <is>
          <t>D-062</t>
        </is>
      </c>
      <c r="B86" t="inlineStr">
        <is>
          <t>Deliverable</t>
        </is>
      </c>
      <c r="C86">
        <f>IFERROR(VLOOKUP($A86,'Deliverables'!$A:$K,3,FALSE),"")</f>
        <v/>
      </c>
      <c r="D86">
        <f>IFERROR(VLOOKUP($A86,'Deliverables'!$A:$K,2,FALSE),"")</f>
        <v/>
      </c>
      <c r="E86">
        <f>IFERROR(VLOOKUP($A86,'Deliverables'!$A:$K,6,FALSE),"")</f>
        <v/>
      </c>
      <c r="F86">
        <f>IFERROR(IF(F86="","",G86-F86),"")</f>
        <v/>
      </c>
      <c r="G86">
        <f>IFERROR(VLOOKUP($A86,'Deliverables'!$A:$K,7,FALSE),"")</f>
        <v/>
      </c>
      <c r="H86">
        <f>IFERROR(VLOOKUP($A86,'Deliverables'!$A:$K,8,FALSE),"")</f>
        <v/>
      </c>
      <c r="I86">
        <f>IFERROR(VLOOKUP($A86,'Deliverables'!$A:$K,5,FALSE),"")</f>
        <v/>
      </c>
      <c r="J86">
        <f>IFERROR(VLOOKUP($A86,'Deliverables'!$A:$K,9,FALSE),"")</f>
        <v/>
      </c>
      <c r="K86">
        <f>IFERROR(VLOOKUP($A86,'Deliverables'!$A:$K,10,FALSE),"")</f>
        <v/>
      </c>
      <c r="L86">
        <f>IFERROR(VLOOKUP($A86,'Deliverables'!$A:$K,11,FALSE),"")</f>
        <v/>
      </c>
      <c r="M86" t="inlineStr"/>
      <c r="N86" t="inlineStr"/>
    </row>
    <row r="87">
      <c r="A87" t="inlineStr">
        <is>
          <t>D-063</t>
        </is>
      </c>
      <c r="B87" t="inlineStr">
        <is>
          <t>Deliverable</t>
        </is>
      </c>
      <c r="C87">
        <f>IFERROR(VLOOKUP($A87,'Deliverables'!$A:$K,3,FALSE),"")</f>
        <v/>
      </c>
      <c r="D87">
        <f>IFERROR(VLOOKUP($A87,'Deliverables'!$A:$K,2,FALSE),"")</f>
        <v/>
      </c>
      <c r="E87">
        <f>IFERROR(VLOOKUP($A87,'Deliverables'!$A:$K,6,FALSE),"")</f>
        <v/>
      </c>
      <c r="F87">
        <f>IFERROR(IF(F87="","",G87-F87),"")</f>
        <v/>
      </c>
      <c r="G87">
        <f>IFERROR(VLOOKUP($A87,'Deliverables'!$A:$K,7,FALSE),"")</f>
        <v/>
      </c>
      <c r="H87">
        <f>IFERROR(VLOOKUP($A87,'Deliverables'!$A:$K,8,FALSE),"")</f>
        <v/>
      </c>
      <c r="I87">
        <f>IFERROR(VLOOKUP($A87,'Deliverables'!$A:$K,5,FALSE),"")</f>
        <v/>
      </c>
      <c r="J87">
        <f>IFERROR(VLOOKUP($A87,'Deliverables'!$A:$K,9,FALSE),"")</f>
        <v/>
      </c>
      <c r="K87">
        <f>IFERROR(VLOOKUP($A87,'Deliverables'!$A:$K,10,FALSE),"")</f>
        <v/>
      </c>
      <c r="L87">
        <f>IFERROR(VLOOKUP($A87,'Deliverables'!$A:$K,11,FALSE),"")</f>
        <v/>
      </c>
      <c r="M87" t="inlineStr"/>
      <c r="N87" t="inlineStr"/>
    </row>
    <row r="88">
      <c r="A88" t="inlineStr">
        <is>
          <t>D-064</t>
        </is>
      </c>
      <c r="B88" t="inlineStr">
        <is>
          <t>Deliverable</t>
        </is>
      </c>
      <c r="C88">
        <f>IFERROR(VLOOKUP($A88,'Deliverables'!$A:$K,3,FALSE),"")</f>
        <v/>
      </c>
      <c r="D88">
        <f>IFERROR(VLOOKUP($A88,'Deliverables'!$A:$K,2,FALSE),"")</f>
        <v/>
      </c>
      <c r="E88">
        <f>IFERROR(VLOOKUP($A88,'Deliverables'!$A:$K,6,FALSE),"")</f>
        <v/>
      </c>
      <c r="F88">
        <f>IFERROR(IF(F88="","",G88-F88),"")</f>
        <v/>
      </c>
      <c r="G88">
        <f>IFERROR(VLOOKUP($A88,'Deliverables'!$A:$K,7,FALSE),"")</f>
        <v/>
      </c>
      <c r="H88">
        <f>IFERROR(VLOOKUP($A88,'Deliverables'!$A:$K,8,FALSE),"")</f>
        <v/>
      </c>
      <c r="I88">
        <f>IFERROR(VLOOKUP($A88,'Deliverables'!$A:$K,5,FALSE),"")</f>
        <v/>
      </c>
      <c r="J88">
        <f>IFERROR(VLOOKUP($A88,'Deliverables'!$A:$K,9,FALSE),"")</f>
        <v/>
      </c>
      <c r="K88">
        <f>IFERROR(VLOOKUP($A88,'Deliverables'!$A:$K,10,FALSE),"")</f>
        <v/>
      </c>
      <c r="L88">
        <f>IFERROR(VLOOKUP($A88,'Deliverables'!$A:$K,11,FALSE),"")</f>
        <v/>
      </c>
      <c r="M88" t="inlineStr"/>
      <c r="N88" t="inlineStr"/>
    </row>
    <row r="89">
      <c r="A89" t="inlineStr">
        <is>
          <t>D-065</t>
        </is>
      </c>
      <c r="B89" t="inlineStr">
        <is>
          <t>Deliverable</t>
        </is>
      </c>
      <c r="C89">
        <f>IFERROR(VLOOKUP($A89,'Deliverables'!$A:$K,3,FALSE),"")</f>
        <v/>
      </c>
      <c r="D89">
        <f>IFERROR(VLOOKUP($A89,'Deliverables'!$A:$K,2,FALSE),"")</f>
        <v/>
      </c>
      <c r="E89">
        <f>IFERROR(VLOOKUP($A89,'Deliverables'!$A:$K,6,FALSE),"")</f>
        <v/>
      </c>
      <c r="F89">
        <f>IFERROR(IF(F89="","",G89-F89),"")</f>
        <v/>
      </c>
      <c r="G89">
        <f>IFERROR(VLOOKUP($A89,'Deliverables'!$A:$K,7,FALSE),"")</f>
        <v/>
      </c>
      <c r="H89">
        <f>IFERROR(VLOOKUP($A89,'Deliverables'!$A:$K,8,FALSE),"")</f>
        <v/>
      </c>
      <c r="I89">
        <f>IFERROR(VLOOKUP($A89,'Deliverables'!$A:$K,5,FALSE),"")</f>
        <v/>
      </c>
      <c r="J89">
        <f>IFERROR(VLOOKUP($A89,'Deliverables'!$A:$K,9,FALSE),"")</f>
        <v/>
      </c>
      <c r="K89">
        <f>IFERROR(VLOOKUP($A89,'Deliverables'!$A:$K,10,FALSE),"")</f>
        <v/>
      </c>
      <c r="L89">
        <f>IFERROR(VLOOKUP($A89,'Deliverables'!$A:$K,11,FALSE),"")</f>
        <v/>
      </c>
      <c r="M89" t="inlineStr"/>
      <c r="N89" t="inlineStr"/>
    </row>
    <row r="90">
      <c r="A90" t="inlineStr">
        <is>
          <t>D-066</t>
        </is>
      </c>
      <c r="B90" t="inlineStr">
        <is>
          <t>Deliverable</t>
        </is>
      </c>
      <c r="C90">
        <f>IFERROR(VLOOKUP($A90,'Deliverables'!$A:$K,3,FALSE),"")</f>
        <v/>
      </c>
      <c r="D90">
        <f>IFERROR(VLOOKUP($A90,'Deliverables'!$A:$K,2,FALSE),"")</f>
        <v/>
      </c>
      <c r="E90">
        <f>IFERROR(VLOOKUP($A90,'Deliverables'!$A:$K,6,FALSE),"")</f>
        <v/>
      </c>
      <c r="F90">
        <f>IFERROR(IF(F90="","",G90-F90),"")</f>
        <v/>
      </c>
      <c r="G90">
        <f>IFERROR(VLOOKUP($A90,'Deliverables'!$A:$K,7,FALSE),"")</f>
        <v/>
      </c>
      <c r="H90">
        <f>IFERROR(VLOOKUP($A90,'Deliverables'!$A:$K,8,FALSE),"")</f>
        <v/>
      </c>
      <c r="I90">
        <f>IFERROR(VLOOKUP($A90,'Deliverables'!$A:$K,5,FALSE),"")</f>
        <v/>
      </c>
      <c r="J90">
        <f>IFERROR(VLOOKUP($A90,'Deliverables'!$A:$K,9,FALSE),"")</f>
        <v/>
      </c>
      <c r="K90">
        <f>IFERROR(VLOOKUP($A90,'Deliverables'!$A:$K,10,FALSE),"")</f>
        <v/>
      </c>
      <c r="L90">
        <f>IFERROR(VLOOKUP($A90,'Deliverables'!$A:$K,11,FALSE),"")</f>
        <v/>
      </c>
      <c r="M90" t="inlineStr"/>
      <c r="N90" t="inlineStr"/>
    </row>
    <row r="91">
      <c r="A91" t="inlineStr">
        <is>
          <t>D-067</t>
        </is>
      </c>
      <c r="B91" t="inlineStr">
        <is>
          <t>Deliverable</t>
        </is>
      </c>
      <c r="C91">
        <f>IFERROR(VLOOKUP($A91,'Deliverables'!$A:$K,3,FALSE),"")</f>
        <v/>
      </c>
      <c r="D91">
        <f>IFERROR(VLOOKUP($A91,'Deliverables'!$A:$K,2,FALSE),"")</f>
        <v/>
      </c>
      <c r="E91">
        <f>IFERROR(VLOOKUP($A91,'Deliverables'!$A:$K,6,FALSE),"")</f>
        <v/>
      </c>
      <c r="F91">
        <f>IFERROR(IF(F91="","",G91-F91),"")</f>
        <v/>
      </c>
      <c r="G91">
        <f>IFERROR(VLOOKUP($A91,'Deliverables'!$A:$K,7,FALSE),"")</f>
        <v/>
      </c>
      <c r="H91">
        <f>IFERROR(VLOOKUP($A91,'Deliverables'!$A:$K,8,FALSE),"")</f>
        <v/>
      </c>
      <c r="I91">
        <f>IFERROR(VLOOKUP($A91,'Deliverables'!$A:$K,5,FALSE),"")</f>
        <v/>
      </c>
      <c r="J91">
        <f>IFERROR(VLOOKUP($A91,'Deliverables'!$A:$K,9,FALSE),"")</f>
        <v/>
      </c>
      <c r="K91">
        <f>IFERROR(VLOOKUP($A91,'Deliverables'!$A:$K,10,FALSE),"")</f>
        <v/>
      </c>
      <c r="L91">
        <f>IFERROR(VLOOKUP($A91,'Deliverables'!$A:$K,11,FALSE),"")</f>
        <v/>
      </c>
      <c r="M91" t="inlineStr"/>
      <c r="N91" t="inlineStr"/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R9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</cols>
  <sheetData>
    <row r="1">
      <c r="A1" s="4" t="inlineStr">
        <is>
          <t>Item ID</t>
        </is>
      </c>
      <c r="B1" s="4" t="inlineStr">
        <is>
          <t>Title</t>
        </is>
      </c>
      <c r="C1" s="4" t="inlineStr">
        <is>
          <t>Start</t>
        </is>
      </c>
      <c r="D1" s="4" t="inlineStr">
        <is>
          <t>End</t>
        </is>
      </c>
      <c r="E1" s="4" t="inlineStr">
        <is>
          <t>Status</t>
        </is>
      </c>
      <c r="F1" s="5" t="n">
        <v>46099</v>
      </c>
      <c r="G1" s="5" t="n">
        <v>46106</v>
      </c>
      <c r="H1" s="5" t="n">
        <v>46113</v>
      </c>
      <c r="I1" s="5" t="n">
        <v>46120</v>
      </c>
      <c r="J1" s="5" t="n">
        <v>46127</v>
      </c>
      <c r="K1" s="5" t="n">
        <v>46134</v>
      </c>
      <c r="L1" s="5" t="n">
        <v>46141</v>
      </c>
      <c r="M1" s="5" t="n">
        <v>46148</v>
      </c>
      <c r="N1" s="5" t="n">
        <v>46155</v>
      </c>
      <c r="O1" s="5" t="n">
        <v>46162</v>
      </c>
      <c r="P1" s="5" t="n">
        <v>46169</v>
      </c>
      <c r="Q1" s="5" t="n">
        <v>46176</v>
      </c>
      <c r="R1" s="5" t="n">
        <v>46183</v>
      </c>
    </row>
    <row r="2">
      <c r="A2" t="inlineStr">
        <is>
          <t>P-001</t>
        </is>
      </c>
      <c r="B2">
        <f>IFERROR(VLOOKUP($A2,'Timelines'!$A:$K,3,FALSE),"")</f>
        <v/>
      </c>
      <c r="C2">
        <f>IFERROR(VLOOKUP($A2,'Timelines'!$A:$K,5,FALSE),"")</f>
        <v/>
      </c>
      <c r="D2">
        <f>IFERROR(VLOOKUP($A2,'Timelines'!$A:$K,7,FALSE),"")</f>
        <v/>
      </c>
      <c r="E2">
        <f>IFERROR(VLOOKUP($A2,'Timelines'!$A:$K,9,FALSE),"")</f>
        <v/>
      </c>
    </row>
    <row r="3">
      <c r="A3" t="inlineStr">
        <is>
          <t>P-002</t>
        </is>
      </c>
      <c r="B3">
        <f>IFERROR(VLOOKUP($A3,'Timelines'!$A:$K,3,FALSE),"")</f>
        <v/>
      </c>
      <c r="C3">
        <f>IFERROR(VLOOKUP($A3,'Timelines'!$A:$K,5,FALSE),"")</f>
        <v/>
      </c>
      <c r="D3">
        <f>IFERROR(VLOOKUP($A3,'Timelines'!$A:$K,7,FALSE),"")</f>
        <v/>
      </c>
      <c r="E3">
        <f>IFERROR(VLOOKUP($A3,'Timelines'!$A:$K,9,FALSE),"")</f>
        <v/>
      </c>
    </row>
    <row r="4">
      <c r="A4" t="inlineStr">
        <is>
          <t>P-003</t>
        </is>
      </c>
      <c r="B4">
        <f>IFERROR(VLOOKUP($A4,'Timelines'!$A:$K,3,FALSE),"")</f>
        <v/>
      </c>
      <c r="C4">
        <f>IFERROR(VLOOKUP($A4,'Timelines'!$A:$K,5,FALSE),"")</f>
        <v/>
      </c>
      <c r="D4">
        <f>IFERROR(VLOOKUP($A4,'Timelines'!$A:$K,7,FALSE),"")</f>
        <v/>
      </c>
      <c r="E4">
        <f>IFERROR(VLOOKUP($A4,'Timelines'!$A:$K,9,FALSE),"")</f>
        <v/>
      </c>
    </row>
    <row r="5">
      <c r="A5" t="inlineStr">
        <is>
          <t>P-004</t>
        </is>
      </c>
      <c r="B5">
        <f>IFERROR(VLOOKUP($A5,'Timelines'!$A:$K,3,FALSE),"")</f>
        <v/>
      </c>
      <c r="C5">
        <f>IFERROR(VLOOKUP($A5,'Timelines'!$A:$K,5,FALSE),"")</f>
        <v/>
      </c>
      <c r="D5">
        <f>IFERROR(VLOOKUP($A5,'Timelines'!$A:$K,7,FALSE),"")</f>
        <v/>
      </c>
      <c r="E5">
        <f>IFERROR(VLOOKUP($A5,'Timelines'!$A:$K,9,FALSE),"")</f>
        <v/>
      </c>
    </row>
    <row r="6">
      <c r="A6" t="inlineStr">
        <is>
          <t>P-005</t>
        </is>
      </c>
      <c r="B6">
        <f>IFERROR(VLOOKUP($A6,'Timelines'!$A:$K,3,FALSE),"")</f>
        <v/>
      </c>
      <c r="C6">
        <f>IFERROR(VLOOKUP($A6,'Timelines'!$A:$K,5,FALSE),"")</f>
        <v/>
      </c>
      <c r="D6">
        <f>IFERROR(VLOOKUP($A6,'Timelines'!$A:$K,7,FALSE),"")</f>
        <v/>
      </c>
      <c r="E6">
        <f>IFERROR(VLOOKUP($A6,'Timelines'!$A:$K,9,FALSE),"")</f>
        <v/>
      </c>
    </row>
    <row r="7">
      <c r="A7" t="inlineStr">
        <is>
          <t>P-006</t>
        </is>
      </c>
      <c r="B7">
        <f>IFERROR(VLOOKUP($A7,'Timelines'!$A:$K,3,FALSE),"")</f>
        <v/>
      </c>
      <c r="C7">
        <f>IFERROR(VLOOKUP($A7,'Timelines'!$A:$K,5,FALSE),"")</f>
        <v/>
      </c>
      <c r="D7">
        <f>IFERROR(VLOOKUP($A7,'Timelines'!$A:$K,7,FALSE),"")</f>
        <v/>
      </c>
      <c r="E7">
        <f>IFERROR(VLOOKUP($A7,'Timelines'!$A:$K,9,FALSE),"")</f>
        <v/>
      </c>
    </row>
    <row r="8">
      <c r="A8" t="inlineStr">
        <is>
          <t>T-001</t>
        </is>
      </c>
      <c r="B8">
        <f>IFERROR(VLOOKUP($A8,'Timelines'!$A:$K,3,FALSE),"")</f>
        <v/>
      </c>
      <c r="C8">
        <f>IFERROR(VLOOKUP($A8,'Timelines'!$A:$K,5,FALSE),"")</f>
        <v/>
      </c>
      <c r="D8">
        <f>IFERROR(VLOOKUP($A8,'Timelines'!$A:$K,7,FALSE),"")</f>
        <v/>
      </c>
      <c r="E8">
        <f>IFERROR(VLOOKUP($A8,'Timelines'!$A:$K,9,FALSE),"")</f>
        <v/>
      </c>
    </row>
    <row r="9">
      <c r="A9" t="inlineStr">
        <is>
          <t>T-002</t>
        </is>
      </c>
      <c r="B9">
        <f>IFERROR(VLOOKUP($A9,'Timelines'!$A:$K,3,FALSE),"")</f>
        <v/>
      </c>
      <c r="C9">
        <f>IFERROR(VLOOKUP($A9,'Timelines'!$A:$K,5,FALSE),"")</f>
        <v/>
      </c>
      <c r="D9">
        <f>IFERROR(VLOOKUP($A9,'Timelines'!$A:$K,7,FALSE),"")</f>
        <v/>
      </c>
      <c r="E9">
        <f>IFERROR(VLOOKUP($A9,'Timelines'!$A:$K,9,FALSE),"")</f>
        <v/>
      </c>
    </row>
    <row r="10">
      <c r="A10" t="inlineStr">
        <is>
          <t>T-003</t>
        </is>
      </c>
      <c r="B10">
        <f>IFERROR(VLOOKUP($A10,'Timelines'!$A:$K,3,FALSE),"")</f>
        <v/>
      </c>
      <c r="C10">
        <f>IFERROR(VLOOKUP($A10,'Timelines'!$A:$K,5,FALSE),"")</f>
        <v/>
      </c>
      <c r="D10">
        <f>IFERROR(VLOOKUP($A10,'Timelines'!$A:$K,7,FALSE),"")</f>
        <v/>
      </c>
      <c r="E10">
        <f>IFERROR(VLOOKUP($A10,'Timelines'!$A:$K,9,FALSE),"")</f>
        <v/>
      </c>
    </row>
    <row r="11">
      <c r="A11" t="inlineStr">
        <is>
          <t>T-004</t>
        </is>
      </c>
      <c r="B11">
        <f>IFERROR(VLOOKUP($A11,'Timelines'!$A:$K,3,FALSE),"")</f>
        <v/>
      </c>
      <c r="C11">
        <f>IFERROR(VLOOKUP($A11,'Timelines'!$A:$K,5,FALSE),"")</f>
        <v/>
      </c>
      <c r="D11">
        <f>IFERROR(VLOOKUP($A11,'Timelines'!$A:$K,7,FALSE),"")</f>
        <v/>
      </c>
      <c r="E11">
        <f>IFERROR(VLOOKUP($A11,'Timelines'!$A:$K,9,FALSE),"")</f>
        <v/>
      </c>
    </row>
    <row r="12">
      <c r="A12" t="inlineStr">
        <is>
          <t>T-005</t>
        </is>
      </c>
      <c r="B12">
        <f>IFERROR(VLOOKUP($A12,'Timelines'!$A:$K,3,FALSE),"")</f>
        <v/>
      </c>
      <c r="C12">
        <f>IFERROR(VLOOKUP($A12,'Timelines'!$A:$K,5,FALSE),"")</f>
        <v/>
      </c>
      <c r="D12">
        <f>IFERROR(VLOOKUP($A12,'Timelines'!$A:$K,7,FALSE),"")</f>
        <v/>
      </c>
      <c r="E12">
        <f>IFERROR(VLOOKUP($A12,'Timelines'!$A:$K,9,FALSE),"")</f>
        <v/>
      </c>
    </row>
    <row r="13">
      <c r="A13" t="inlineStr">
        <is>
          <t>T-006</t>
        </is>
      </c>
      <c r="B13">
        <f>IFERROR(VLOOKUP($A13,'Timelines'!$A:$K,3,FALSE),"")</f>
        <v/>
      </c>
      <c r="C13">
        <f>IFERROR(VLOOKUP($A13,'Timelines'!$A:$K,5,FALSE),"")</f>
        <v/>
      </c>
      <c r="D13">
        <f>IFERROR(VLOOKUP($A13,'Timelines'!$A:$K,7,FALSE),"")</f>
        <v/>
      </c>
      <c r="E13">
        <f>IFERROR(VLOOKUP($A13,'Timelines'!$A:$K,9,FALSE),"")</f>
        <v/>
      </c>
    </row>
    <row r="14">
      <c r="A14" t="inlineStr">
        <is>
          <t>T-007</t>
        </is>
      </c>
      <c r="B14">
        <f>IFERROR(VLOOKUP($A14,'Timelines'!$A:$K,3,FALSE),"")</f>
        <v/>
      </c>
      <c r="C14">
        <f>IFERROR(VLOOKUP($A14,'Timelines'!$A:$K,5,FALSE),"")</f>
        <v/>
      </c>
      <c r="D14">
        <f>IFERROR(VLOOKUP($A14,'Timelines'!$A:$K,7,FALSE),"")</f>
        <v/>
      </c>
      <c r="E14">
        <f>IFERROR(VLOOKUP($A14,'Timelines'!$A:$K,9,FALSE),"")</f>
        <v/>
      </c>
    </row>
    <row r="15">
      <c r="A15" t="inlineStr">
        <is>
          <t>T-008</t>
        </is>
      </c>
      <c r="B15">
        <f>IFERROR(VLOOKUP($A15,'Timelines'!$A:$K,3,FALSE),"")</f>
        <v/>
      </c>
      <c r="C15">
        <f>IFERROR(VLOOKUP($A15,'Timelines'!$A:$K,5,FALSE),"")</f>
        <v/>
      </c>
      <c r="D15">
        <f>IFERROR(VLOOKUP($A15,'Timelines'!$A:$K,7,FALSE),"")</f>
        <v/>
      </c>
      <c r="E15">
        <f>IFERROR(VLOOKUP($A15,'Timelines'!$A:$K,9,FALSE),"")</f>
        <v/>
      </c>
    </row>
    <row r="16">
      <c r="A16" t="inlineStr">
        <is>
          <t>T-009</t>
        </is>
      </c>
      <c r="B16">
        <f>IFERROR(VLOOKUP($A16,'Timelines'!$A:$K,3,FALSE),"")</f>
        <v/>
      </c>
      <c r="C16">
        <f>IFERROR(VLOOKUP($A16,'Timelines'!$A:$K,5,FALSE),"")</f>
        <v/>
      </c>
      <c r="D16">
        <f>IFERROR(VLOOKUP($A16,'Timelines'!$A:$K,7,FALSE),"")</f>
        <v/>
      </c>
      <c r="E16">
        <f>IFERROR(VLOOKUP($A16,'Timelines'!$A:$K,9,FALSE),"")</f>
        <v/>
      </c>
    </row>
    <row r="17">
      <c r="A17" t="inlineStr">
        <is>
          <t>T-010</t>
        </is>
      </c>
      <c r="B17">
        <f>IFERROR(VLOOKUP($A17,'Timelines'!$A:$K,3,FALSE),"")</f>
        <v/>
      </c>
      <c r="C17">
        <f>IFERROR(VLOOKUP($A17,'Timelines'!$A:$K,5,FALSE),"")</f>
        <v/>
      </c>
      <c r="D17">
        <f>IFERROR(VLOOKUP($A17,'Timelines'!$A:$K,7,FALSE),"")</f>
        <v/>
      </c>
      <c r="E17">
        <f>IFERROR(VLOOKUP($A17,'Timelines'!$A:$K,9,FALSE),"")</f>
        <v/>
      </c>
    </row>
    <row r="18">
      <c r="A18" t="inlineStr">
        <is>
          <t>T-011</t>
        </is>
      </c>
      <c r="B18">
        <f>IFERROR(VLOOKUP($A18,'Timelines'!$A:$K,3,FALSE),"")</f>
        <v/>
      </c>
      <c r="C18">
        <f>IFERROR(VLOOKUP($A18,'Timelines'!$A:$K,5,FALSE),"")</f>
        <v/>
      </c>
      <c r="D18">
        <f>IFERROR(VLOOKUP($A18,'Timelines'!$A:$K,7,FALSE),"")</f>
        <v/>
      </c>
      <c r="E18">
        <f>IFERROR(VLOOKUP($A18,'Timelines'!$A:$K,9,FALSE),"")</f>
        <v/>
      </c>
    </row>
    <row r="19">
      <c r="A19" t="inlineStr">
        <is>
          <t>T-012</t>
        </is>
      </c>
      <c r="B19">
        <f>IFERROR(VLOOKUP($A19,'Timelines'!$A:$K,3,FALSE),"")</f>
        <v/>
      </c>
      <c r="C19">
        <f>IFERROR(VLOOKUP($A19,'Timelines'!$A:$K,5,FALSE),"")</f>
        <v/>
      </c>
      <c r="D19">
        <f>IFERROR(VLOOKUP($A19,'Timelines'!$A:$K,7,FALSE),"")</f>
        <v/>
      </c>
      <c r="E19">
        <f>IFERROR(VLOOKUP($A19,'Timelines'!$A:$K,9,FALSE),"")</f>
        <v/>
      </c>
    </row>
    <row r="20">
      <c r="A20" t="inlineStr">
        <is>
          <t>T-013</t>
        </is>
      </c>
      <c r="B20">
        <f>IFERROR(VLOOKUP($A20,'Timelines'!$A:$K,3,FALSE),"")</f>
        <v/>
      </c>
      <c r="C20">
        <f>IFERROR(VLOOKUP($A20,'Timelines'!$A:$K,5,FALSE),"")</f>
        <v/>
      </c>
      <c r="D20">
        <f>IFERROR(VLOOKUP($A20,'Timelines'!$A:$K,7,FALSE),"")</f>
        <v/>
      </c>
      <c r="E20">
        <f>IFERROR(VLOOKUP($A20,'Timelines'!$A:$K,9,FALSE),"")</f>
        <v/>
      </c>
    </row>
    <row r="21">
      <c r="A21" t="inlineStr">
        <is>
          <t>T-014</t>
        </is>
      </c>
      <c r="B21">
        <f>IFERROR(VLOOKUP($A21,'Timelines'!$A:$K,3,FALSE),"")</f>
        <v/>
      </c>
      <c r="C21">
        <f>IFERROR(VLOOKUP($A21,'Timelines'!$A:$K,5,FALSE),"")</f>
        <v/>
      </c>
      <c r="D21">
        <f>IFERROR(VLOOKUP($A21,'Timelines'!$A:$K,7,FALSE),"")</f>
        <v/>
      </c>
      <c r="E21">
        <f>IFERROR(VLOOKUP($A21,'Timelines'!$A:$K,9,FALSE),"")</f>
        <v/>
      </c>
    </row>
    <row r="22">
      <c r="A22" t="inlineStr">
        <is>
          <t>T-015</t>
        </is>
      </c>
      <c r="B22">
        <f>IFERROR(VLOOKUP($A22,'Timelines'!$A:$K,3,FALSE),"")</f>
        <v/>
      </c>
      <c r="C22">
        <f>IFERROR(VLOOKUP($A22,'Timelines'!$A:$K,5,FALSE),"")</f>
        <v/>
      </c>
      <c r="D22">
        <f>IFERROR(VLOOKUP($A22,'Timelines'!$A:$K,7,FALSE),"")</f>
        <v/>
      </c>
      <c r="E22">
        <f>IFERROR(VLOOKUP($A22,'Timelines'!$A:$K,9,FALSE),"")</f>
        <v/>
      </c>
    </row>
    <row r="23">
      <c r="A23" t="inlineStr">
        <is>
          <t>T-016</t>
        </is>
      </c>
      <c r="B23">
        <f>IFERROR(VLOOKUP($A23,'Timelines'!$A:$K,3,FALSE),"")</f>
        <v/>
      </c>
      <c r="C23">
        <f>IFERROR(VLOOKUP($A23,'Timelines'!$A:$K,5,FALSE),"")</f>
        <v/>
      </c>
      <c r="D23">
        <f>IFERROR(VLOOKUP($A23,'Timelines'!$A:$K,7,FALSE),"")</f>
        <v/>
      </c>
      <c r="E23">
        <f>IFERROR(VLOOKUP($A23,'Timelines'!$A:$K,9,FALSE),"")</f>
        <v/>
      </c>
    </row>
    <row r="24">
      <c r="A24" t="inlineStr">
        <is>
          <t>T-017</t>
        </is>
      </c>
      <c r="B24">
        <f>IFERROR(VLOOKUP($A24,'Timelines'!$A:$K,3,FALSE),"")</f>
        <v/>
      </c>
      <c r="C24">
        <f>IFERROR(VLOOKUP($A24,'Timelines'!$A:$K,5,FALSE),"")</f>
        <v/>
      </c>
      <c r="D24">
        <f>IFERROR(VLOOKUP($A24,'Timelines'!$A:$K,7,FALSE),"")</f>
        <v/>
      </c>
      <c r="E24">
        <f>IFERROR(VLOOKUP($A24,'Timelines'!$A:$K,9,FALSE),"")</f>
        <v/>
      </c>
    </row>
    <row r="25">
      <c r="A25" t="inlineStr">
        <is>
          <t>D-001</t>
        </is>
      </c>
      <c r="B25">
        <f>IFERROR(VLOOKUP($A25,'Timelines'!$A:$K,3,FALSE),"")</f>
        <v/>
      </c>
      <c r="C25">
        <f>IFERROR(VLOOKUP($A25,'Timelines'!$A:$K,5,FALSE),"")</f>
        <v/>
      </c>
      <c r="D25">
        <f>IFERROR(VLOOKUP($A25,'Timelines'!$A:$K,7,FALSE),"")</f>
        <v/>
      </c>
      <c r="E25">
        <f>IFERROR(VLOOKUP($A25,'Timelines'!$A:$K,9,FALSE),"")</f>
        <v/>
      </c>
    </row>
    <row r="26">
      <c r="A26" t="inlineStr">
        <is>
          <t>D-002</t>
        </is>
      </c>
      <c r="B26">
        <f>IFERROR(VLOOKUP($A26,'Timelines'!$A:$K,3,FALSE),"")</f>
        <v/>
      </c>
      <c r="C26">
        <f>IFERROR(VLOOKUP($A26,'Timelines'!$A:$K,5,FALSE),"")</f>
        <v/>
      </c>
      <c r="D26">
        <f>IFERROR(VLOOKUP($A26,'Timelines'!$A:$K,7,FALSE),"")</f>
        <v/>
      </c>
      <c r="E26">
        <f>IFERROR(VLOOKUP($A26,'Timelines'!$A:$K,9,FALSE),"")</f>
        <v/>
      </c>
    </row>
    <row r="27">
      <c r="A27" t="inlineStr">
        <is>
          <t>D-003</t>
        </is>
      </c>
      <c r="B27">
        <f>IFERROR(VLOOKUP($A27,'Timelines'!$A:$K,3,FALSE),"")</f>
        <v/>
      </c>
      <c r="C27">
        <f>IFERROR(VLOOKUP($A27,'Timelines'!$A:$K,5,FALSE),"")</f>
        <v/>
      </c>
      <c r="D27">
        <f>IFERROR(VLOOKUP($A27,'Timelines'!$A:$K,7,FALSE),"")</f>
        <v/>
      </c>
      <c r="E27">
        <f>IFERROR(VLOOKUP($A27,'Timelines'!$A:$K,9,FALSE),"")</f>
        <v/>
      </c>
    </row>
    <row r="28">
      <c r="A28" t="inlineStr">
        <is>
          <t>D-004</t>
        </is>
      </c>
      <c r="B28">
        <f>IFERROR(VLOOKUP($A28,'Timelines'!$A:$K,3,FALSE),"")</f>
        <v/>
      </c>
      <c r="C28">
        <f>IFERROR(VLOOKUP($A28,'Timelines'!$A:$K,5,FALSE),"")</f>
        <v/>
      </c>
      <c r="D28">
        <f>IFERROR(VLOOKUP($A28,'Timelines'!$A:$K,7,FALSE),"")</f>
        <v/>
      </c>
      <c r="E28">
        <f>IFERROR(VLOOKUP($A28,'Timelines'!$A:$K,9,FALSE),"")</f>
        <v/>
      </c>
    </row>
    <row r="29">
      <c r="A29" t="inlineStr">
        <is>
          <t>D-005</t>
        </is>
      </c>
      <c r="B29">
        <f>IFERROR(VLOOKUP($A29,'Timelines'!$A:$K,3,FALSE),"")</f>
        <v/>
      </c>
      <c r="C29">
        <f>IFERROR(VLOOKUP($A29,'Timelines'!$A:$K,5,FALSE),"")</f>
        <v/>
      </c>
      <c r="D29">
        <f>IFERROR(VLOOKUP($A29,'Timelines'!$A:$K,7,FALSE),"")</f>
        <v/>
      </c>
      <c r="E29">
        <f>IFERROR(VLOOKUP($A29,'Timelines'!$A:$K,9,FALSE),"")</f>
        <v/>
      </c>
    </row>
    <row r="30">
      <c r="A30" t="inlineStr">
        <is>
          <t>D-006</t>
        </is>
      </c>
      <c r="B30">
        <f>IFERROR(VLOOKUP($A30,'Timelines'!$A:$K,3,FALSE),"")</f>
        <v/>
      </c>
      <c r="C30">
        <f>IFERROR(VLOOKUP($A30,'Timelines'!$A:$K,5,FALSE),"")</f>
        <v/>
      </c>
      <c r="D30">
        <f>IFERROR(VLOOKUP($A30,'Timelines'!$A:$K,7,FALSE),"")</f>
        <v/>
      </c>
      <c r="E30">
        <f>IFERROR(VLOOKUP($A30,'Timelines'!$A:$K,9,FALSE),"")</f>
        <v/>
      </c>
    </row>
    <row r="31">
      <c r="A31" t="inlineStr">
        <is>
          <t>D-007</t>
        </is>
      </c>
      <c r="B31">
        <f>IFERROR(VLOOKUP($A31,'Timelines'!$A:$K,3,FALSE),"")</f>
        <v/>
      </c>
      <c r="C31">
        <f>IFERROR(VLOOKUP($A31,'Timelines'!$A:$K,5,FALSE),"")</f>
        <v/>
      </c>
      <c r="D31">
        <f>IFERROR(VLOOKUP($A31,'Timelines'!$A:$K,7,FALSE),"")</f>
        <v/>
      </c>
      <c r="E31">
        <f>IFERROR(VLOOKUP($A31,'Timelines'!$A:$K,9,FALSE),"")</f>
        <v/>
      </c>
    </row>
    <row r="32">
      <c r="A32" t="inlineStr">
        <is>
          <t>D-008</t>
        </is>
      </c>
      <c r="B32">
        <f>IFERROR(VLOOKUP($A32,'Timelines'!$A:$K,3,FALSE),"")</f>
        <v/>
      </c>
      <c r="C32">
        <f>IFERROR(VLOOKUP($A32,'Timelines'!$A:$K,5,FALSE),"")</f>
        <v/>
      </c>
      <c r="D32">
        <f>IFERROR(VLOOKUP($A32,'Timelines'!$A:$K,7,FALSE),"")</f>
        <v/>
      </c>
      <c r="E32">
        <f>IFERROR(VLOOKUP($A32,'Timelines'!$A:$K,9,FALSE),"")</f>
        <v/>
      </c>
    </row>
    <row r="33">
      <c r="A33" t="inlineStr">
        <is>
          <t>D-009</t>
        </is>
      </c>
      <c r="B33">
        <f>IFERROR(VLOOKUP($A33,'Timelines'!$A:$K,3,FALSE),"")</f>
        <v/>
      </c>
      <c r="C33">
        <f>IFERROR(VLOOKUP($A33,'Timelines'!$A:$K,5,FALSE),"")</f>
        <v/>
      </c>
      <c r="D33">
        <f>IFERROR(VLOOKUP($A33,'Timelines'!$A:$K,7,FALSE),"")</f>
        <v/>
      </c>
      <c r="E33">
        <f>IFERROR(VLOOKUP($A33,'Timelines'!$A:$K,9,FALSE),"")</f>
        <v/>
      </c>
    </row>
    <row r="34">
      <c r="A34" t="inlineStr">
        <is>
          <t>D-010</t>
        </is>
      </c>
      <c r="B34">
        <f>IFERROR(VLOOKUP($A34,'Timelines'!$A:$K,3,FALSE),"")</f>
        <v/>
      </c>
      <c r="C34">
        <f>IFERROR(VLOOKUP($A34,'Timelines'!$A:$K,5,FALSE),"")</f>
        <v/>
      </c>
      <c r="D34">
        <f>IFERROR(VLOOKUP($A34,'Timelines'!$A:$K,7,FALSE),"")</f>
        <v/>
      </c>
      <c r="E34">
        <f>IFERROR(VLOOKUP($A34,'Timelines'!$A:$K,9,FALSE),"")</f>
        <v/>
      </c>
    </row>
    <row r="35">
      <c r="A35" t="inlineStr">
        <is>
          <t>D-011</t>
        </is>
      </c>
      <c r="B35">
        <f>IFERROR(VLOOKUP($A35,'Timelines'!$A:$K,3,FALSE),"")</f>
        <v/>
      </c>
      <c r="C35">
        <f>IFERROR(VLOOKUP($A35,'Timelines'!$A:$K,5,FALSE),"")</f>
        <v/>
      </c>
      <c r="D35">
        <f>IFERROR(VLOOKUP($A35,'Timelines'!$A:$K,7,FALSE),"")</f>
        <v/>
      </c>
      <c r="E35">
        <f>IFERROR(VLOOKUP($A35,'Timelines'!$A:$K,9,FALSE),"")</f>
        <v/>
      </c>
    </row>
    <row r="36">
      <c r="A36" t="inlineStr">
        <is>
          <t>D-012</t>
        </is>
      </c>
      <c r="B36">
        <f>IFERROR(VLOOKUP($A36,'Timelines'!$A:$K,3,FALSE),"")</f>
        <v/>
      </c>
      <c r="C36">
        <f>IFERROR(VLOOKUP($A36,'Timelines'!$A:$K,5,FALSE),"")</f>
        <v/>
      </c>
      <c r="D36">
        <f>IFERROR(VLOOKUP($A36,'Timelines'!$A:$K,7,FALSE),"")</f>
        <v/>
      </c>
      <c r="E36">
        <f>IFERROR(VLOOKUP($A36,'Timelines'!$A:$K,9,FALSE),"")</f>
        <v/>
      </c>
    </row>
    <row r="37">
      <c r="A37" t="inlineStr">
        <is>
          <t>D-013</t>
        </is>
      </c>
      <c r="B37">
        <f>IFERROR(VLOOKUP($A37,'Timelines'!$A:$K,3,FALSE),"")</f>
        <v/>
      </c>
      <c r="C37">
        <f>IFERROR(VLOOKUP($A37,'Timelines'!$A:$K,5,FALSE),"")</f>
        <v/>
      </c>
      <c r="D37">
        <f>IFERROR(VLOOKUP($A37,'Timelines'!$A:$K,7,FALSE),"")</f>
        <v/>
      </c>
      <c r="E37">
        <f>IFERROR(VLOOKUP($A37,'Timelines'!$A:$K,9,FALSE),"")</f>
        <v/>
      </c>
    </row>
    <row r="38">
      <c r="A38" t="inlineStr">
        <is>
          <t>D-014</t>
        </is>
      </c>
      <c r="B38">
        <f>IFERROR(VLOOKUP($A38,'Timelines'!$A:$K,3,FALSE),"")</f>
        <v/>
      </c>
      <c r="C38">
        <f>IFERROR(VLOOKUP($A38,'Timelines'!$A:$K,5,FALSE),"")</f>
        <v/>
      </c>
      <c r="D38">
        <f>IFERROR(VLOOKUP($A38,'Timelines'!$A:$K,7,FALSE),"")</f>
        <v/>
      </c>
      <c r="E38">
        <f>IFERROR(VLOOKUP($A38,'Timelines'!$A:$K,9,FALSE),"")</f>
        <v/>
      </c>
    </row>
    <row r="39">
      <c r="A39" t="inlineStr">
        <is>
          <t>D-015</t>
        </is>
      </c>
      <c r="B39">
        <f>IFERROR(VLOOKUP($A39,'Timelines'!$A:$K,3,FALSE),"")</f>
        <v/>
      </c>
      <c r="C39">
        <f>IFERROR(VLOOKUP($A39,'Timelines'!$A:$K,5,FALSE),"")</f>
        <v/>
      </c>
      <c r="D39">
        <f>IFERROR(VLOOKUP($A39,'Timelines'!$A:$K,7,FALSE),"")</f>
        <v/>
      </c>
      <c r="E39">
        <f>IFERROR(VLOOKUP($A39,'Timelines'!$A:$K,9,FALSE),"")</f>
        <v/>
      </c>
    </row>
    <row r="40">
      <c r="A40" t="inlineStr">
        <is>
          <t>D-016</t>
        </is>
      </c>
      <c r="B40">
        <f>IFERROR(VLOOKUP($A40,'Timelines'!$A:$K,3,FALSE),"")</f>
        <v/>
      </c>
      <c r="C40">
        <f>IFERROR(VLOOKUP($A40,'Timelines'!$A:$K,5,FALSE),"")</f>
        <v/>
      </c>
      <c r="D40">
        <f>IFERROR(VLOOKUP($A40,'Timelines'!$A:$K,7,FALSE),"")</f>
        <v/>
      </c>
      <c r="E40">
        <f>IFERROR(VLOOKUP($A40,'Timelines'!$A:$K,9,FALSE),"")</f>
        <v/>
      </c>
    </row>
    <row r="41">
      <c r="A41" t="inlineStr">
        <is>
          <t>D-017</t>
        </is>
      </c>
      <c r="B41">
        <f>IFERROR(VLOOKUP($A41,'Timelines'!$A:$K,3,FALSE),"")</f>
        <v/>
      </c>
      <c r="C41">
        <f>IFERROR(VLOOKUP($A41,'Timelines'!$A:$K,5,FALSE),"")</f>
        <v/>
      </c>
      <c r="D41">
        <f>IFERROR(VLOOKUP($A41,'Timelines'!$A:$K,7,FALSE),"")</f>
        <v/>
      </c>
      <c r="E41">
        <f>IFERROR(VLOOKUP($A41,'Timelines'!$A:$K,9,FALSE),"")</f>
        <v/>
      </c>
    </row>
    <row r="42">
      <c r="A42" t="inlineStr">
        <is>
          <t>D-018</t>
        </is>
      </c>
      <c r="B42">
        <f>IFERROR(VLOOKUP($A42,'Timelines'!$A:$K,3,FALSE),"")</f>
        <v/>
      </c>
      <c r="C42">
        <f>IFERROR(VLOOKUP($A42,'Timelines'!$A:$K,5,FALSE),"")</f>
        <v/>
      </c>
      <c r="D42">
        <f>IFERROR(VLOOKUP($A42,'Timelines'!$A:$K,7,FALSE),"")</f>
        <v/>
      </c>
      <c r="E42">
        <f>IFERROR(VLOOKUP($A42,'Timelines'!$A:$K,9,FALSE),"")</f>
        <v/>
      </c>
    </row>
    <row r="43">
      <c r="A43" t="inlineStr">
        <is>
          <t>D-019</t>
        </is>
      </c>
      <c r="B43">
        <f>IFERROR(VLOOKUP($A43,'Timelines'!$A:$K,3,FALSE),"")</f>
        <v/>
      </c>
      <c r="C43">
        <f>IFERROR(VLOOKUP($A43,'Timelines'!$A:$K,5,FALSE),"")</f>
        <v/>
      </c>
      <c r="D43">
        <f>IFERROR(VLOOKUP($A43,'Timelines'!$A:$K,7,FALSE),"")</f>
        <v/>
      </c>
      <c r="E43">
        <f>IFERROR(VLOOKUP($A43,'Timelines'!$A:$K,9,FALSE),"")</f>
        <v/>
      </c>
    </row>
    <row r="44">
      <c r="A44" t="inlineStr">
        <is>
          <t>D-020</t>
        </is>
      </c>
      <c r="B44">
        <f>IFERROR(VLOOKUP($A44,'Timelines'!$A:$K,3,FALSE),"")</f>
        <v/>
      </c>
      <c r="C44">
        <f>IFERROR(VLOOKUP($A44,'Timelines'!$A:$K,5,FALSE),"")</f>
        <v/>
      </c>
      <c r="D44">
        <f>IFERROR(VLOOKUP($A44,'Timelines'!$A:$K,7,FALSE),"")</f>
        <v/>
      </c>
      <c r="E44">
        <f>IFERROR(VLOOKUP($A44,'Timelines'!$A:$K,9,FALSE),"")</f>
        <v/>
      </c>
    </row>
    <row r="45">
      <c r="A45" t="inlineStr">
        <is>
          <t>D-021</t>
        </is>
      </c>
      <c r="B45">
        <f>IFERROR(VLOOKUP($A45,'Timelines'!$A:$K,3,FALSE),"")</f>
        <v/>
      </c>
      <c r="C45">
        <f>IFERROR(VLOOKUP($A45,'Timelines'!$A:$K,5,FALSE),"")</f>
        <v/>
      </c>
      <c r="D45">
        <f>IFERROR(VLOOKUP($A45,'Timelines'!$A:$K,7,FALSE),"")</f>
        <v/>
      </c>
      <c r="E45">
        <f>IFERROR(VLOOKUP($A45,'Timelines'!$A:$K,9,FALSE),"")</f>
        <v/>
      </c>
    </row>
    <row r="46">
      <c r="A46" t="inlineStr">
        <is>
          <t>D-022</t>
        </is>
      </c>
      <c r="B46">
        <f>IFERROR(VLOOKUP($A46,'Timelines'!$A:$K,3,FALSE),"")</f>
        <v/>
      </c>
      <c r="C46">
        <f>IFERROR(VLOOKUP($A46,'Timelines'!$A:$K,5,FALSE),"")</f>
        <v/>
      </c>
      <c r="D46">
        <f>IFERROR(VLOOKUP($A46,'Timelines'!$A:$K,7,FALSE),"")</f>
        <v/>
      </c>
      <c r="E46">
        <f>IFERROR(VLOOKUP($A46,'Timelines'!$A:$K,9,FALSE),"")</f>
        <v/>
      </c>
    </row>
    <row r="47">
      <c r="A47" t="inlineStr">
        <is>
          <t>D-023</t>
        </is>
      </c>
      <c r="B47">
        <f>IFERROR(VLOOKUP($A47,'Timelines'!$A:$K,3,FALSE),"")</f>
        <v/>
      </c>
      <c r="C47">
        <f>IFERROR(VLOOKUP($A47,'Timelines'!$A:$K,5,FALSE),"")</f>
        <v/>
      </c>
      <c r="D47">
        <f>IFERROR(VLOOKUP($A47,'Timelines'!$A:$K,7,FALSE),"")</f>
        <v/>
      </c>
      <c r="E47">
        <f>IFERROR(VLOOKUP($A47,'Timelines'!$A:$K,9,FALSE),"")</f>
        <v/>
      </c>
    </row>
    <row r="48">
      <c r="A48" t="inlineStr">
        <is>
          <t>D-024</t>
        </is>
      </c>
      <c r="B48">
        <f>IFERROR(VLOOKUP($A48,'Timelines'!$A:$K,3,FALSE),"")</f>
        <v/>
      </c>
      <c r="C48">
        <f>IFERROR(VLOOKUP($A48,'Timelines'!$A:$K,5,FALSE),"")</f>
        <v/>
      </c>
      <c r="D48">
        <f>IFERROR(VLOOKUP($A48,'Timelines'!$A:$K,7,FALSE),"")</f>
        <v/>
      </c>
      <c r="E48">
        <f>IFERROR(VLOOKUP($A48,'Timelines'!$A:$K,9,FALSE),"")</f>
        <v/>
      </c>
    </row>
    <row r="49">
      <c r="A49" t="inlineStr">
        <is>
          <t>D-025</t>
        </is>
      </c>
      <c r="B49">
        <f>IFERROR(VLOOKUP($A49,'Timelines'!$A:$K,3,FALSE),"")</f>
        <v/>
      </c>
      <c r="C49">
        <f>IFERROR(VLOOKUP($A49,'Timelines'!$A:$K,5,FALSE),"")</f>
        <v/>
      </c>
      <c r="D49">
        <f>IFERROR(VLOOKUP($A49,'Timelines'!$A:$K,7,FALSE),"")</f>
        <v/>
      </c>
      <c r="E49">
        <f>IFERROR(VLOOKUP($A49,'Timelines'!$A:$K,9,FALSE),"")</f>
        <v/>
      </c>
    </row>
    <row r="50">
      <c r="A50" t="inlineStr">
        <is>
          <t>D-026</t>
        </is>
      </c>
      <c r="B50">
        <f>IFERROR(VLOOKUP($A50,'Timelines'!$A:$K,3,FALSE),"")</f>
        <v/>
      </c>
      <c r="C50">
        <f>IFERROR(VLOOKUP($A50,'Timelines'!$A:$K,5,FALSE),"")</f>
        <v/>
      </c>
      <c r="D50">
        <f>IFERROR(VLOOKUP($A50,'Timelines'!$A:$K,7,FALSE),"")</f>
        <v/>
      </c>
      <c r="E50">
        <f>IFERROR(VLOOKUP($A50,'Timelines'!$A:$K,9,FALSE),"")</f>
        <v/>
      </c>
    </row>
    <row r="51">
      <c r="A51" t="inlineStr">
        <is>
          <t>D-027</t>
        </is>
      </c>
      <c r="B51">
        <f>IFERROR(VLOOKUP($A51,'Timelines'!$A:$K,3,FALSE),"")</f>
        <v/>
      </c>
      <c r="C51">
        <f>IFERROR(VLOOKUP($A51,'Timelines'!$A:$K,5,FALSE),"")</f>
        <v/>
      </c>
      <c r="D51">
        <f>IFERROR(VLOOKUP($A51,'Timelines'!$A:$K,7,FALSE),"")</f>
        <v/>
      </c>
      <c r="E51">
        <f>IFERROR(VLOOKUP($A51,'Timelines'!$A:$K,9,FALSE),"")</f>
        <v/>
      </c>
    </row>
    <row r="52">
      <c r="A52" t="inlineStr">
        <is>
          <t>D-028</t>
        </is>
      </c>
      <c r="B52">
        <f>IFERROR(VLOOKUP($A52,'Timelines'!$A:$K,3,FALSE),"")</f>
        <v/>
      </c>
      <c r="C52">
        <f>IFERROR(VLOOKUP($A52,'Timelines'!$A:$K,5,FALSE),"")</f>
        <v/>
      </c>
      <c r="D52">
        <f>IFERROR(VLOOKUP($A52,'Timelines'!$A:$K,7,FALSE),"")</f>
        <v/>
      </c>
      <c r="E52">
        <f>IFERROR(VLOOKUP($A52,'Timelines'!$A:$K,9,FALSE),"")</f>
        <v/>
      </c>
    </row>
    <row r="53">
      <c r="A53" t="inlineStr">
        <is>
          <t>D-029</t>
        </is>
      </c>
      <c r="B53">
        <f>IFERROR(VLOOKUP($A53,'Timelines'!$A:$K,3,FALSE),"")</f>
        <v/>
      </c>
      <c r="C53">
        <f>IFERROR(VLOOKUP($A53,'Timelines'!$A:$K,5,FALSE),"")</f>
        <v/>
      </c>
      <c r="D53">
        <f>IFERROR(VLOOKUP($A53,'Timelines'!$A:$K,7,FALSE),"")</f>
        <v/>
      </c>
      <c r="E53">
        <f>IFERROR(VLOOKUP($A53,'Timelines'!$A:$K,9,FALSE),"")</f>
        <v/>
      </c>
    </row>
    <row r="54">
      <c r="A54" t="inlineStr">
        <is>
          <t>D-030</t>
        </is>
      </c>
      <c r="B54">
        <f>IFERROR(VLOOKUP($A54,'Timelines'!$A:$K,3,FALSE),"")</f>
        <v/>
      </c>
      <c r="C54">
        <f>IFERROR(VLOOKUP($A54,'Timelines'!$A:$K,5,FALSE),"")</f>
        <v/>
      </c>
      <c r="D54">
        <f>IFERROR(VLOOKUP($A54,'Timelines'!$A:$K,7,FALSE),"")</f>
        <v/>
      </c>
      <c r="E54">
        <f>IFERROR(VLOOKUP($A54,'Timelines'!$A:$K,9,FALSE),"")</f>
        <v/>
      </c>
    </row>
    <row r="55">
      <c r="A55" t="inlineStr">
        <is>
          <t>D-031</t>
        </is>
      </c>
      <c r="B55">
        <f>IFERROR(VLOOKUP($A55,'Timelines'!$A:$K,3,FALSE),"")</f>
        <v/>
      </c>
      <c r="C55">
        <f>IFERROR(VLOOKUP($A55,'Timelines'!$A:$K,5,FALSE),"")</f>
        <v/>
      </c>
      <c r="D55">
        <f>IFERROR(VLOOKUP($A55,'Timelines'!$A:$K,7,FALSE),"")</f>
        <v/>
      </c>
      <c r="E55">
        <f>IFERROR(VLOOKUP($A55,'Timelines'!$A:$K,9,FALSE),"")</f>
        <v/>
      </c>
    </row>
    <row r="56">
      <c r="A56" t="inlineStr">
        <is>
          <t>D-032</t>
        </is>
      </c>
      <c r="B56">
        <f>IFERROR(VLOOKUP($A56,'Timelines'!$A:$K,3,FALSE),"")</f>
        <v/>
      </c>
      <c r="C56">
        <f>IFERROR(VLOOKUP($A56,'Timelines'!$A:$K,5,FALSE),"")</f>
        <v/>
      </c>
      <c r="D56">
        <f>IFERROR(VLOOKUP($A56,'Timelines'!$A:$K,7,FALSE),"")</f>
        <v/>
      </c>
      <c r="E56">
        <f>IFERROR(VLOOKUP($A56,'Timelines'!$A:$K,9,FALSE),"")</f>
        <v/>
      </c>
    </row>
    <row r="57">
      <c r="A57" t="inlineStr">
        <is>
          <t>D-033</t>
        </is>
      </c>
      <c r="B57">
        <f>IFERROR(VLOOKUP($A57,'Timelines'!$A:$K,3,FALSE),"")</f>
        <v/>
      </c>
      <c r="C57">
        <f>IFERROR(VLOOKUP($A57,'Timelines'!$A:$K,5,FALSE),"")</f>
        <v/>
      </c>
      <c r="D57">
        <f>IFERROR(VLOOKUP($A57,'Timelines'!$A:$K,7,FALSE),"")</f>
        <v/>
      </c>
      <c r="E57">
        <f>IFERROR(VLOOKUP($A57,'Timelines'!$A:$K,9,FALSE),"")</f>
        <v/>
      </c>
    </row>
    <row r="58">
      <c r="A58" t="inlineStr">
        <is>
          <t>D-034</t>
        </is>
      </c>
      <c r="B58">
        <f>IFERROR(VLOOKUP($A58,'Timelines'!$A:$K,3,FALSE),"")</f>
        <v/>
      </c>
      <c r="C58">
        <f>IFERROR(VLOOKUP($A58,'Timelines'!$A:$K,5,FALSE),"")</f>
        <v/>
      </c>
      <c r="D58">
        <f>IFERROR(VLOOKUP($A58,'Timelines'!$A:$K,7,FALSE),"")</f>
        <v/>
      </c>
      <c r="E58">
        <f>IFERROR(VLOOKUP($A58,'Timelines'!$A:$K,9,FALSE),"")</f>
        <v/>
      </c>
    </row>
    <row r="59">
      <c r="A59" t="inlineStr">
        <is>
          <t>D-035</t>
        </is>
      </c>
      <c r="B59">
        <f>IFERROR(VLOOKUP($A59,'Timelines'!$A:$K,3,FALSE),"")</f>
        <v/>
      </c>
      <c r="C59">
        <f>IFERROR(VLOOKUP($A59,'Timelines'!$A:$K,5,FALSE),"")</f>
        <v/>
      </c>
      <c r="D59">
        <f>IFERROR(VLOOKUP($A59,'Timelines'!$A:$K,7,FALSE),"")</f>
        <v/>
      </c>
      <c r="E59">
        <f>IFERROR(VLOOKUP($A59,'Timelines'!$A:$K,9,FALSE),"")</f>
        <v/>
      </c>
    </row>
    <row r="60">
      <c r="A60" t="inlineStr">
        <is>
          <t>D-036</t>
        </is>
      </c>
      <c r="B60">
        <f>IFERROR(VLOOKUP($A60,'Timelines'!$A:$K,3,FALSE),"")</f>
        <v/>
      </c>
      <c r="C60">
        <f>IFERROR(VLOOKUP($A60,'Timelines'!$A:$K,5,FALSE),"")</f>
        <v/>
      </c>
      <c r="D60">
        <f>IFERROR(VLOOKUP($A60,'Timelines'!$A:$K,7,FALSE),"")</f>
        <v/>
      </c>
      <c r="E60">
        <f>IFERROR(VLOOKUP($A60,'Timelines'!$A:$K,9,FALSE),"")</f>
        <v/>
      </c>
    </row>
    <row r="61">
      <c r="A61" t="inlineStr">
        <is>
          <t>D-037</t>
        </is>
      </c>
      <c r="B61">
        <f>IFERROR(VLOOKUP($A61,'Timelines'!$A:$K,3,FALSE),"")</f>
        <v/>
      </c>
      <c r="C61">
        <f>IFERROR(VLOOKUP($A61,'Timelines'!$A:$K,5,FALSE),"")</f>
        <v/>
      </c>
      <c r="D61">
        <f>IFERROR(VLOOKUP($A61,'Timelines'!$A:$K,7,FALSE),"")</f>
        <v/>
      </c>
      <c r="E61">
        <f>IFERROR(VLOOKUP($A61,'Timelines'!$A:$K,9,FALSE),"")</f>
        <v/>
      </c>
    </row>
    <row r="62">
      <c r="A62" t="inlineStr">
        <is>
          <t>D-038</t>
        </is>
      </c>
      <c r="B62">
        <f>IFERROR(VLOOKUP($A62,'Timelines'!$A:$K,3,FALSE),"")</f>
        <v/>
      </c>
      <c r="C62">
        <f>IFERROR(VLOOKUP($A62,'Timelines'!$A:$K,5,FALSE),"")</f>
        <v/>
      </c>
      <c r="D62">
        <f>IFERROR(VLOOKUP($A62,'Timelines'!$A:$K,7,FALSE),"")</f>
        <v/>
      </c>
      <c r="E62">
        <f>IFERROR(VLOOKUP($A62,'Timelines'!$A:$K,9,FALSE),"")</f>
        <v/>
      </c>
    </row>
    <row r="63">
      <c r="A63" t="inlineStr">
        <is>
          <t>D-039</t>
        </is>
      </c>
      <c r="B63">
        <f>IFERROR(VLOOKUP($A63,'Timelines'!$A:$K,3,FALSE),"")</f>
        <v/>
      </c>
      <c r="C63">
        <f>IFERROR(VLOOKUP($A63,'Timelines'!$A:$K,5,FALSE),"")</f>
        <v/>
      </c>
      <c r="D63">
        <f>IFERROR(VLOOKUP($A63,'Timelines'!$A:$K,7,FALSE),"")</f>
        <v/>
      </c>
      <c r="E63">
        <f>IFERROR(VLOOKUP($A63,'Timelines'!$A:$K,9,FALSE),"")</f>
        <v/>
      </c>
    </row>
    <row r="64">
      <c r="A64" t="inlineStr">
        <is>
          <t>D-040</t>
        </is>
      </c>
      <c r="B64">
        <f>IFERROR(VLOOKUP($A64,'Timelines'!$A:$K,3,FALSE),"")</f>
        <v/>
      </c>
      <c r="C64">
        <f>IFERROR(VLOOKUP($A64,'Timelines'!$A:$K,5,FALSE),"")</f>
        <v/>
      </c>
      <c r="D64">
        <f>IFERROR(VLOOKUP($A64,'Timelines'!$A:$K,7,FALSE),"")</f>
        <v/>
      </c>
      <c r="E64">
        <f>IFERROR(VLOOKUP($A64,'Timelines'!$A:$K,9,FALSE),"")</f>
        <v/>
      </c>
    </row>
    <row r="65">
      <c r="A65" t="inlineStr">
        <is>
          <t>D-041</t>
        </is>
      </c>
      <c r="B65">
        <f>IFERROR(VLOOKUP($A65,'Timelines'!$A:$K,3,FALSE),"")</f>
        <v/>
      </c>
      <c r="C65">
        <f>IFERROR(VLOOKUP($A65,'Timelines'!$A:$K,5,FALSE),"")</f>
        <v/>
      </c>
      <c r="D65">
        <f>IFERROR(VLOOKUP($A65,'Timelines'!$A:$K,7,FALSE),"")</f>
        <v/>
      </c>
      <c r="E65">
        <f>IFERROR(VLOOKUP($A65,'Timelines'!$A:$K,9,FALSE),"")</f>
        <v/>
      </c>
    </row>
    <row r="66">
      <c r="A66" t="inlineStr">
        <is>
          <t>D-042</t>
        </is>
      </c>
      <c r="B66">
        <f>IFERROR(VLOOKUP($A66,'Timelines'!$A:$K,3,FALSE),"")</f>
        <v/>
      </c>
      <c r="C66">
        <f>IFERROR(VLOOKUP($A66,'Timelines'!$A:$K,5,FALSE),"")</f>
        <v/>
      </c>
      <c r="D66">
        <f>IFERROR(VLOOKUP($A66,'Timelines'!$A:$K,7,FALSE),"")</f>
        <v/>
      </c>
      <c r="E66">
        <f>IFERROR(VLOOKUP($A66,'Timelines'!$A:$K,9,FALSE),"")</f>
        <v/>
      </c>
    </row>
    <row r="67">
      <c r="A67" t="inlineStr">
        <is>
          <t>D-043</t>
        </is>
      </c>
      <c r="B67">
        <f>IFERROR(VLOOKUP($A67,'Timelines'!$A:$K,3,FALSE),"")</f>
        <v/>
      </c>
      <c r="C67">
        <f>IFERROR(VLOOKUP($A67,'Timelines'!$A:$K,5,FALSE),"")</f>
        <v/>
      </c>
      <c r="D67">
        <f>IFERROR(VLOOKUP($A67,'Timelines'!$A:$K,7,FALSE),"")</f>
        <v/>
      </c>
      <c r="E67">
        <f>IFERROR(VLOOKUP($A67,'Timelines'!$A:$K,9,FALSE),"")</f>
        <v/>
      </c>
    </row>
    <row r="68">
      <c r="A68" t="inlineStr">
        <is>
          <t>D-044</t>
        </is>
      </c>
      <c r="B68">
        <f>IFERROR(VLOOKUP($A68,'Timelines'!$A:$K,3,FALSE),"")</f>
        <v/>
      </c>
      <c r="C68">
        <f>IFERROR(VLOOKUP($A68,'Timelines'!$A:$K,5,FALSE),"")</f>
        <v/>
      </c>
      <c r="D68">
        <f>IFERROR(VLOOKUP($A68,'Timelines'!$A:$K,7,FALSE),"")</f>
        <v/>
      </c>
      <c r="E68">
        <f>IFERROR(VLOOKUP($A68,'Timelines'!$A:$K,9,FALSE),"")</f>
        <v/>
      </c>
    </row>
    <row r="69">
      <c r="A69" t="inlineStr">
        <is>
          <t>D-045</t>
        </is>
      </c>
      <c r="B69">
        <f>IFERROR(VLOOKUP($A69,'Timelines'!$A:$K,3,FALSE),"")</f>
        <v/>
      </c>
      <c r="C69">
        <f>IFERROR(VLOOKUP($A69,'Timelines'!$A:$K,5,FALSE),"")</f>
        <v/>
      </c>
      <c r="D69">
        <f>IFERROR(VLOOKUP($A69,'Timelines'!$A:$K,7,FALSE),"")</f>
        <v/>
      </c>
      <c r="E69">
        <f>IFERROR(VLOOKUP($A69,'Timelines'!$A:$K,9,FALSE),"")</f>
        <v/>
      </c>
    </row>
    <row r="70">
      <c r="A70" t="inlineStr">
        <is>
          <t>D-046</t>
        </is>
      </c>
      <c r="B70">
        <f>IFERROR(VLOOKUP($A70,'Timelines'!$A:$K,3,FALSE),"")</f>
        <v/>
      </c>
      <c r="C70">
        <f>IFERROR(VLOOKUP($A70,'Timelines'!$A:$K,5,FALSE),"")</f>
        <v/>
      </c>
      <c r="D70">
        <f>IFERROR(VLOOKUP($A70,'Timelines'!$A:$K,7,FALSE),"")</f>
        <v/>
      </c>
      <c r="E70">
        <f>IFERROR(VLOOKUP($A70,'Timelines'!$A:$K,9,FALSE),"")</f>
        <v/>
      </c>
    </row>
    <row r="71">
      <c r="A71" t="inlineStr">
        <is>
          <t>D-047</t>
        </is>
      </c>
      <c r="B71">
        <f>IFERROR(VLOOKUP($A71,'Timelines'!$A:$K,3,FALSE),"")</f>
        <v/>
      </c>
      <c r="C71">
        <f>IFERROR(VLOOKUP($A71,'Timelines'!$A:$K,5,FALSE),"")</f>
        <v/>
      </c>
      <c r="D71">
        <f>IFERROR(VLOOKUP($A71,'Timelines'!$A:$K,7,FALSE),"")</f>
        <v/>
      </c>
      <c r="E71">
        <f>IFERROR(VLOOKUP($A71,'Timelines'!$A:$K,9,FALSE),"")</f>
        <v/>
      </c>
    </row>
    <row r="72">
      <c r="A72" t="inlineStr">
        <is>
          <t>D-048</t>
        </is>
      </c>
      <c r="B72">
        <f>IFERROR(VLOOKUP($A72,'Timelines'!$A:$K,3,FALSE),"")</f>
        <v/>
      </c>
      <c r="C72">
        <f>IFERROR(VLOOKUP($A72,'Timelines'!$A:$K,5,FALSE),"")</f>
        <v/>
      </c>
      <c r="D72">
        <f>IFERROR(VLOOKUP($A72,'Timelines'!$A:$K,7,FALSE),"")</f>
        <v/>
      </c>
      <c r="E72">
        <f>IFERROR(VLOOKUP($A72,'Timelines'!$A:$K,9,FALSE),"")</f>
        <v/>
      </c>
    </row>
    <row r="73">
      <c r="A73" t="inlineStr">
        <is>
          <t>D-049</t>
        </is>
      </c>
      <c r="B73">
        <f>IFERROR(VLOOKUP($A73,'Timelines'!$A:$K,3,FALSE),"")</f>
        <v/>
      </c>
      <c r="C73">
        <f>IFERROR(VLOOKUP($A73,'Timelines'!$A:$K,5,FALSE),"")</f>
        <v/>
      </c>
      <c r="D73">
        <f>IFERROR(VLOOKUP($A73,'Timelines'!$A:$K,7,FALSE),"")</f>
        <v/>
      </c>
      <c r="E73">
        <f>IFERROR(VLOOKUP($A73,'Timelines'!$A:$K,9,FALSE),"")</f>
        <v/>
      </c>
    </row>
    <row r="74">
      <c r="A74" t="inlineStr">
        <is>
          <t>D-050</t>
        </is>
      </c>
      <c r="B74">
        <f>IFERROR(VLOOKUP($A74,'Timelines'!$A:$K,3,FALSE),"")</f>
        <v/>
      </c>
      <c r="C74">
        <f>IFERROR(VLOOKUP($A74,'Timelines'!$A:$K,5,FALSE),"")</f>
        <v/>
      </c>
      <c r="D74">
        <f>IFERROR(VLOOKUP($A74,'Timelines'!$A:$K,7,FALSE),"")</f>
        <v/>
      </c>
      <c r="E74">
        <f>IFERROR(VLOOKUP($A74,'Timelines'!$A:$K,9,FALSE),"")</f>
        <v/>
      </c>
    </row>
    <row r="75">
      <c r="A75" t="inlineStr">
        <is>
          <t>D-051</t>
        </is>
      </c>
      <c r="B75">
        <f>IFERROR(VLOOKUP($A75,'Timelines'!$A:$K,3,FALSE),"")</f>
        <v/>
      </c>
      <c r="C75">
        <f>IFERROR(VLOOKUP($A75,'Timelines'!$A:$K,5,FALSE),"")</f>
        <v/>
      </c>
      <c r="D75">
        <f>IFERROR(VLOOKUP($A75,'Timelines'!$A:$K,7,FALSE),"")</f>
        <v/>
      </c>
      <c r="E75">
        <f>IFERROR(VLOOKUP($A75,'Timelines'!$A:$K,9,FALSE),"")</f>
        <v/>
      </c>
    </row>
    <row r="76">
      <c r="A76" t="inlineStr">
        <is>
          <t>D-052</t>
        </is>
      </c>
      <c r="B76">
        <f>IFERROR(VLOOKUP($A76,'Timelines'!$A:$K,3,FALSE),"")</f>
        <v/>
      </c>
      <c r="C76">
        <f>IFERROR(VLOOKUP($A76,'Timelines'!$A:$K,5,FALSE),"")</f>
        <v/>
      </c>
      <c r="D76">
        <f>IFERROR(VLOOKUP($A76,'Timelines'!$A:$K,7,FALSE),"")</f>
        <v/>
      </c>
      <c r="E76">
        <f>IFERROR(VLOOKUP($A76,'Timelines'!$A:$K,9,FALSE),"")</f>
        <v/>
      </c>
    </row>
    <row r="77">
      <c r="A77" t="inlineStr">
        <is>
          <t>D-053</t>
        </is>
      </c>
      <c r="B77">
        <f>IFERROR(VLOOKUP($A77,'Timelines'!$A:$K,3,FALSE),"")</f>
        <v/>
      </c>
      <c r="C77">
        <f>IFERROR(VLOOKUP($A77,'Timelines'!$A:$K,5,FALSE),"")</f>
        <v/>
      </c>
      <c r="D77">
        <f>IFERROR(VLOOKUP($A77,'Timelines'!$A:$K,7,FALSE),"")</f>
        <v/>
      </c>
      <c r="E77">
        <f>IFERROR(VLOOKUP($A77,'Timelines'!$A:$K,9,FALSE),"")</f>
        <v/>
      </c>
    </row>
    <row r="78">
      <c r="A78" t="inlineStr">
        <is>
          <t>D-054</t>
        </is>
      </c>
      <c r="B78">
        <f>IFERROR(VLOOKUP($A78,'Timelines'!$A:$K,3,FALSE),"")</f>
        <v/>
      </c>
      <c r="C78">
        <f>IFERROR(VLOOKUP($A78,'Timelines'!$A:$K,5,FALSE),"")</f>
        <v/>
      </c>
      <c r="D78">
        <f>IFERROR(VLOOKUP($A78,'Timelines'!$A:$K,7,FALSE),"")</f>
        <v/>
      </c>
      <c r="E78">
        <f>IFERROR(VLOOKUP($A78,'Timelines'!$A:$K,9,FALSE),"")</f>
        <v/>
      </c>
    </row>
    <row r="79">
      <c r="A79" t="inlineStr">
        <is>
          <t>D-055</t>
        </is>
      </c>
      <c r="B79">
        <f>IFERROR(VLOOKUP($A79,'Timelines'!$A:$K,3,FALSE),"")</f>
        <v/>
      </c>
      <c r="C79">
        <f>IFERROR(VLOOKUP($A79,'Timelines'!$A:$K,5,FALSE),"")</f>
        <v/>
      </c>
      <c r="D79">
        <f>IFERROR(VLOOKUP($A79,'Timelines'!$A:$K,7,FALSE),"")</f>
        <v/>
      </c>
      <c r="E79">
        <f>IFERROR(VLOOKUP($A79,'Timelines'!$A:$K,9,FALSE),"")</f>
        <v/>
      </c>
    </row>
    <row r="80">
      <c r="A80" t="inlineStr">
        <is>
          <t>D-056</t>
        </is>
      </c>
      <c r="B80">
        <f>IFERROR(VLOOKUP($A80,'Timelines'!$A:$K,3,FALSE),"")</f>
        <v/>
      </c>
      <c r="C80">
        <f>IFERROR(VLOOKUP($A80,'Timelines'!$A:$K,5,FALSE),"")</f>
        <v/>
      </c>
      <c r="D80">
        <f>IFERROR(VLOOKUP($A80,'Timelines'!$A:$K,7,FALSE),"")</f>
        <v/>
      </c>
      <c r="E80">
        <f>IFERROR(VLOOKUP($A80,'Timelines'!$A:$K,9,FALSE),"")</f>
        <v/>
      </c>
    </row>
    <row r="81">
      <c r="A81" t="inlineStr">
        <is>
          <t>D-057</t>
        </is>
      </c>
      <c r="B81">
        <f>IFERROR(VLOOKUP($A81,'Timelines'!$A:$K,3,FALSE),"")</f>
        <v/>
      </c>
      <c r="C81">
        <f>IFERROR(VLOOKUP($A81,'Timelines'!$A:$K,5,FALSE),"")</f>
        <v/>
      </c>
      <c r="D81">
        <f>IFERROR(VLOOKUP($A81,'Timelines'!$A:$K,7,FALSE),"")</f>
        <v/>
      </c>
      <c r="E81">
        <f>IFERROR(VLOOKUP($A81,'Timelines'!$A:$K,9,FALSE),"")</f>
        <v/>
      </c>
    </row>
    <row r="82">
      <c r="A82" t="inlineStr">
        <is>
          <t>D-058</t>
        </is>
      </c>
      <c r="B82">
        <f>IFERROR(VLOOKUP($A82,'Timelines'!$A:$K,3,FALSE),"")</f>
        <v/>
      </c>
      <c r="C82">
        <f>IFERROR(VLOOKUP($A82,'Timelines'!$A:$K,5,FALSE),"")</f>
        <v/>
      </c>
      <c r="D82">
        <f>IFERROR(VLOOKUP($A82,'Timelines'!$A:$K,7,FALSE),"")</f>
        <v/>
      </c>
      <c r="E82">
        <f>IFERROR(VLOOKUP($A82,'Timelines'!$A:$K,9,FALSE),"")</f>
        <v/>
      </c>
    </row>
    <row r="83">
      <c r="A83" t="inlineStr">
        <is>
          <t>D-059</t>
        </is>
      </c>
      <c r="B83">
        <f>IFERROR(VLOOKUP($A83,'Timelines'!$A:$K,3,FALSE),"")</f>
        <v/>
      </c>
      <c r="C83">
        <f>IFERROR(VLOOKUP($A83,'Timelines'!$A:$K,5,FALSE),"")</f>
        <v/>
      </c>
      <c r="D83">
        <f>IFERROR(VLOOKUP($A83,'Timelines'!$A:$K,7,FALSE),"")</f>
        <v/>
      </c>
      <c r="E83">
        <f>IFERROR(VLOOKUP($A83,'Timelines'!$A:$K,9,FALSE),"")</f>
        <v/>
      </c>
    </row>
    <row r="84">
      <c r="A84" t="inlineStr">
        <is>
          <t>D-060</t>
        </is>
      </c>
      <c r="B84">
        <f>IFERROR(VLOOKUP($A84,'Timelines'!$A:$K,3,FALSE),"")</f>
        <v/>
      </c>
      <c r="C84">
        <f>IFERROR(VLOOKUP($A84,'Timelines'!$A:$K,5,FALSE),"")</f>
        <v/>
      </c>
      <c r="D84">
        <f>IFERROR(VLOOKUP($A84,'Timelines'!$A:$K,7,FALSE),"")</f>
        <v/>
      </c>
      <c r="E84">
        <f>IFERROR(VLOOKUP($A84,'Timelines'!$A:$K,9,FALSE),"")</f>
        <v/>
      </c>
    </row>
    <row r="85">
      <c r="A85" t="inlineStr">
        <is>
          <t>D-061</t>
        </is>
      </c>
      <c r="B85">
        <f>IFERROR(VLOOKUP($A85,'Timelines'!$A:$K,3,FALSE),"")</f>
        <v/>
      </c>
      <c r="C85">
        <f>IFERROR(VLOOKUP($A85,'Timelines'!$A:$K,5,FALSE),"")</f>
        <v/>
      </c>
      <c r="D85">
        <f>IFERROR(VLOOKUP($A85,'Timelines'!$A:$K,7,FALSE),"")</f>
        <v/>
      </c>
      <c r="E85">
        <f>IFERROR(VLOOKUP($A85,'Timelines'!$A:$K,9,FALSE),"")</f>
        <v/>
      </c>
    </row>
    <row r="86">
      <c r="A86" t="inlineStr">
        <is>
          <t>D-062</t>
        </is>
      </c>
      <c r="B86">
        <f>IFERROR(VLOOKUP($A86,'Timelines'!$A:$K,3,FALSE),"")</f>
        <v/>
      </c>
      <c r="C86">
        <f>IFERROR(VLOOKUP($A86,'Timelines'!$A:$K,5,FALSE),"")</f>
        <v/>
      </c>
      <c r="D86">
        <f>IFERROR(VLOOKUP($A86,'Timelines'!$A:$K,7,FALSE),"")</f>
        <v/>
      </c>
      <c r="E86">
        <f>IFERROR(VLOOKUP($A86,'Timelines'!$A:$K,9,FALSE),"")</f>
        <v/>
      </c>
    </row>
    <row r="87">
      <c r="A87" t="inlineStr">
        <is>
          <t>D-063</t>
        </is>
      </c>
      <c r="B87">
        <f>IFERROR(VLOOKUP($A87,'Timelines'!$A:$K,3,FALSE),"")</f>
        <v/>
      </c>
      <c r="C87">
        <f>IFERROR(VLOOKUP($A87,'Timelines'!$A:$K,5,FALSE),"")</f>
        <v/>
      </c>
      <c r="D87">
        <f>IFERROR(VLOOKUP($A87,'Timelines'!$A:$K,7,FALSE),"")</f>
        <v/>
      </c>
      <c r="E87">
        <f>IFERROR(VLOOKUP($A87,'Timelines'!$A:$K,9,FALSE),"")</f>
        <v/>
      </c>
    </row>
    <row r="88">
      <c r="A88" t="inlineStr">
        <is>
          <t>D-064</t>
        </is>
      </c>
      <c r="B88">
        <f>IFERROR(VLOOKUP($A88,'Timelines'!$A:$K,3,FALSE),"")</f>
        <v/>
      </c>
      <c r="C88">
        <f>IFERROR(VLOOKUP($A88,'Timelines'!$A:$K,5,FALSE),"")</f>
        <v/>
      </c>
      <c r="D88">
        <f>IFERROR(VLOOKUP($A88,'Timelines'!$A:$K,7,FALSE),"")</f>
        <v/>
      </c>
      <c r="E88">
        <f>IFERROR(VLOOKUP($A88,'Timelines'!$A:$K,9,FALSE),"")</f>
        <v/>
      </c>
    </row>
    <row r="89">
      <c r="A89" t="inlineStr">
        <is>
          <t>D-065</t>
        </is>
      </c>
      <c r="B89">
        <f>IFERROR(VLOOKUP($A89,'Timelines'!$A:$K,3,FALSE),"")</f>
        <v/>
      </c>
      <c r="C89">
        <f>IFERROR(VLOOKUP($A89,'Timelines'!$A:$K,5,FALSE),"")</f>
        <v/>
      </c>
      <c r="D89">
        <f>IFERROR(VLOOKUP($A89,'Timelines'!$A:$K,7,FALSE),"")</f>
        <v/>
      </c>
      <c r="E89">
        <f>IFERROR(VLOOKUP($A89,'Timelines'!$A:$K,9,FALSE),"")</f>
        <v/>
      </c>
    </row>
    <row r="90">
      <c r="A90" t="inlineStr">
        <is>
          <t>D-066</t>
        </is>
      </c>
      <c r="B90">
        <f>IFERROR(VLOOKUP($A90,'Timelines'!$A:$K,3,FALSE),"")</f>
        <v/>
      </c>
      <c r="C90">
        <f>IFERROR(VLOOKUP($A90,'Timelines'!$A:$K,5,FALSE),"")</f>
        <v/>
      </c>
      <c r="D90">
        <f>IFERROR(VLOOKUP($A90,'Timelines'!$A:$K,7,FALSE),"")</f>
        <v/>
      </c>
      <c r="E90">
        <f>IFERROR(VLOOKUP($A90,'Timelines'!$A:$K,9,FALSE),"")</f>
        <v/>
      </c>
    </row>
    <row r="91">
      <c r="A91" t="inlineStr">
        <is>
          <t>D-067</t>
        </is>
      </c>
      <c r="B91">
        <f>IFERROR(VLOOKUP($A91,'Timelines'!$A:$K,3,FALSE),"")</f>
        <v/>
      </c>
      <c r="C91">
        <f>IFERROR(VLOOKUP($A91,'Timelines'!$A:$K,5,FALSE),"")</f>
        <v/>
      </c>
      <c r="D91">
        <f>IFERROR(VLOOKUP($A91,'Timelines'!$A:$K,7,FALSE),"")</f>
        <v/>
      </c>
      <c r="E91">
        <f>IFERROR(VLOOKUP($A91,'Timelines'!$A:$K,9,FALSE),"")</f>
        <v/>
      </c>
    </row>
  </sheetData>
  <conditionalFormatting sqref="F2:R91">
    <cfRule type="expression" priority="4" dxfId="0">
      <formula>AND(F$1&gt;=$C2,F$1&lt;=$D2,SEARCH("complet",$E2)&gt;0)</formula>
    </cfRule>
    <cfRule type="expression" priority="5" dxfId="1">
      <formula>AND(F$1&gt;=$C2,F$1&lt;=$D2,$D2&lt;TODAY(),ISERROR(SEARCH("complet",$E2)))</formula>
    </cfRule>
    <cfRule type="expression" priority="6" dxfId="2">
      <formula>AND(F$1&gt;=$C2,F$1&lt;=$D2,ISERROR(SEARCH("complet",$E2)))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2026-03-24T14:19:34Z</dcterms:created>
  <dcterms:modified xmlns:dcterms="http://purl.org/dc/terms/" xmlns:xsi="http://www.w3.org/2001/XMLSchema-instance" xsi:type="dcterms:W3CDTF">2026-03-25T15:10:54Z</dcterms:modified>
</cp:coreProperties>
</file>