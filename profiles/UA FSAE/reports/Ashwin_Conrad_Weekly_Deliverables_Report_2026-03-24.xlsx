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425" yWindow="-15810" windowWidth="29040" windowHeight="157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Deliverables" sheetId="4" state="visible" r:id="rId4"/>
    <sheet xmlns:r="http://schemas.openxmlformats.org/officeDocument/2006/relationships" name="Timelines" sheetId="5" state="visible" r:id="rId5"/>
    <sheet xmlns:r="http://schemas.openxmlformats.org/officeDocument/2006/relationships" name="Gantt Chart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mmm\ dd"/>
    <numFmt numFmtId="166" formatCode="[$-F800]dddd\,\ mmmm\ dd\,\ yyyy"/>
    <numFmt numFmtId="167" formatCode="yyyy-mm-dd"/>
    <numFmt numFmtId="168" formatCode="MMM DD"/>
  </numFmts>
  <fonts count="1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003DA5"/>
      <sz val="20"/>
    </font>
    <font>
      <name val="Calibri"/>
      <b val="1"/>
      <color rgb="FFFFFFFF"/>
      <sz val="9"/>
    </font>
    <font>
      <name val="Calibri"/>
      <color rgb="FFFFFFFF"/>
      <sz val="8"/>
    </font>
    <font>
      <name val="Calibri"/>
      <b val="1"/>
      <color rgb="00003DA5"/>
      <sz val="20"/>
    </font>
    <font>
      <name val="Calibri"/>
      <color rgb="00336BBF"/>
      <sz val="12"/>
    </font>
    <font>
      <name val="Calibri"/>
      <b val="1"/>
      <color rgb="00003DA5"/>
      <sz val="14"/>
    </font>
    <font>
      <name val="Calibri"/>
      <i val="1"/>
      <color rgb="00333333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36BBF"/>
      <sz val="12"/>
    </font>
    <font>
      <name val="Calibri"/>
      <b val="1"/>
      <sz val="10"/>
    </font>
    <font>
      <name val="Calibri"/>
      <i val="1"/>
      <color rgb="00555555"/>
      <sz val="10"/>
    </font>
    <font>
      <name val="Calibri"/>
      <b val="1"/>
      <color rgb="00FFFFFF"/>
      <sz val="9"/>
    </font>
    <font>
      <name val="Calibri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FF003DA5"/>
        <bgColor rgb="FF003DA5"/>
      </patternFill>
    </fill>
    <fill>
      <patternFill patternType="solid">
        <fgColor rgb="00003DA5"/>
        <bgColor rgb="00003DA5"/>
      </patternFill>
    </fill>
    <fill>
      <patternFill patternType="solid">
        <fgColor rgb="00E6EFF8"/>
        <bgColor rgb="00E6EFF8"/>
      </patternFill>
    </fill>
    <fill>
      <patternFill patternType="solid">
        <fgColor rgb="00F2F3F4"/>
        <bgColor rgb="00F2F3F4"/>
      </patternFill>
    </fill>
    <fill>
      <patternFill patternType="solid">
        <fgColor rgb="00D6EAF8"/>
        <bgColor rgb="00D6EAF8"/>
      </patternFill>
    </fill>
    <fill>
      <patternFill patternType="solid">
        <fgColor rgb="00B3CDE3"/>
        <bgColor rgb="00B3CDE3"/>
      </patternFill>
    </fill>
  </fills>
  <borders count="3">
    <border>
      <left/>
      <right/>
      <top/>
      <bottom/>
      <diagonal/>
    </border>
    <border>
      <left style="thin">
        <color rgb="FFB3CDE3"/>
      </left>
      <right style="thin">
        <color rgb="FFB3CDE3"/>
      </right>
      <top style="thin">
        <color rgb="FFB3CDE3"/>
      </top>
      <bottom style="thin">
        <color rgb="FFB3CDE3"/>
      </bottom>
      <diagonal/>
    </border>
    <border>
      <left style="thin">
        <color rgb="00B3CDE3"/>
      </left>
      <right style="thin">
        <color rgb="00B3CDE3"/>
      </right>
      <top style="thin">
        <color rgb="00B3CDE3"/>
      </top>
      <bottom style="thin">
        <color rgb="00B3CDE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textRotation="90"/>
    </xf>
    <xf numFmtId="0" fontId="2" fillId="0" borderId="0" pivotButton="0" quotePrefix="0" xfId="0"/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3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3" borderId="0" applyAlignment="1" pivotButton="0" quotePrefix="0" xfId="0">
      <alignment horizontal="center" vertical="center"/>
    </xf>
    <xf numFmtId="168" fontId="15" fillId="3" borderId="0" applyAlignment="1" pivotButton="0" quotePrefix="0" xfId="0">
      <alignment horizontal="center" textRotation="90"/>
    </xf>
    <xf numFmtId="0" fontId="12" fillId="0" borderId="2" pivotButton="0" quotePrefix="0" xfId="0"/>
    <xf numFmtId="0" fontId="10" fillId="5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2" fillId="7" borderId="2" pivotButton="0" quotePrefix="0" xfId="0"/>
  </cellXfs>
  <cellStyles count="1">
    <cellStyle name="Normal" xfId="0" builtinId="0"/>
  </cellStyles>
  <dxfs count="6">
    <dxf>
      <fill>
        <patternFill patternType="solid">
          <fgColor rgb="FF336BBF"/>
          <bgColor rgb="FF336BBF"/>
        </patternFill>
      </fill>
    </dxf>
    <dxf>
      <fill>
        <patternFill patternType="solid">
          <fgColor rgb="FFC0392B"/>
          <bgColor rgb="FFC0392B"/>
        </patternFill>
      </fill>
    </dxf>
    <dxf>
      <fill>
        <patternFill patternType="solid">
          <fgColor rgb="FF2E8B57"/>
          <bgColor rgb="FF2E8B57"/>
        </patternFill>
      </fill>
    </dxf>
    <dxf>
      <fill>
        <patternFill patternType="solid">
          <fgColor rgb="002E8B57"/>
          <bgColor rgb="002E8B57"/>
        </patternFill>
      </fill>
    </dxf>
    <dxf>
      <fill>
        <patternFill patternType="solid">
          <fgColor rgb="00C0392B"/>
          <bgColor rgb="00C0392B"/>
        </patternFill>
      </fill>
    </dxf>
    <dxf>
      <fill>
        <patternFill patternType="solid">
          <fgColor rgb="00336BBF"/>
          <bgColor rgb="00336B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3DA5"/>
    <outlinePr summaryBelow="1" summaryRight="1"/>
    <pageSetUpPr/>
  </sheetPr>
  <dimension ref="B1:I56"/>
  <sheetViews>
    <sheetView tabSelected="1" workbookViewId="0">
      <selection activeCell="B3" sqref="B3"/>
    </sheetView>
  </sheetViews>
  <sheetFormatPr baseColWidth="8" defaultRowHeight="14.5"/>
  <cols>
    <col width="3" customWidth="1" style="6" min="1" max="1"/>
    <col width="36" customWidth="1" style="6" min="2" max="2"/>
    <col width="14" customWidth="1" style="6" min="3" max="3"/>
    <col width="14" customWidth="1" style="6" min="4" max="4"/>
    <col width="12" customWidth="1" style="6" min="5" max="5"/>
    <col width="14" customWidth="1" style="6" min="6" max="6"/>
    <col width="14" customWidth="1" style="6" min="7" max="7"/>
    <col width="14" customWidth="1" style="6" min="8" max="8"/>
    <col width="14" customWidth="1" style="6" min="9" max="9"/>
  </cols>
  <sheetData>
    <row r="1" ht="26" customHeight="1" s="6">
      <c r="B1" s="10" t="inlineStr">
        <is>
          <t>Weekly Dashboard — March 24, 2026</t>
        </is>
      </c>
    </row>
    <row r="2">
      <c r="B2" s="11" t="inlineStr">
        <is>
          <t>Ashwin Conrad  |  Low Voltage Electrical Lead  |  UA FSAE</t>
        </is>
      </c>
    </row>
    <row r="4">
      <c r="B4" s="12" t="inlineStr">
        <is>
          <t>Project Status Summary</t>
        </is>
      </c>
    </row>
    <row r="5">
      <c r="B5" s="14" t="inlineStr">
        <is>
          <t>Project</t>
        </is>
      </c>
      <c r="C5" s="14" t="inlineStr">
        <is>
          <t>Category</t>
        </is>
      </c>
      <c r="D5" s="14" t="inlineStr">
        <is>
          <t>Status</t>
        </is>
      </c>
      <c r="E5" s="14" t="inlineStr">
        <is>
          <t>Priority</t>
        </is>
      </c>
      <c r="F5" s="14" t="inlineStr">
        <is>
          <t>Active Tasks</t>
        </is>
      </c>
      <c r="G5" s="14" t="inlineStr">
        <is>
          <t>% Complete</t>
        </is>
      </c>
      <c r="H5" s="14" t="inlineStr">
        <is>
          <t>Allocated (hrs)</t>
        </is>
      </c>
      <c r="I5" s="14" t="inlineStr">
        <is>
          <t>Spent (hrs)</t>
        </is>
      </c>
    </row>
    <row r="6">
      <c r="B6" s="15" t="inlineStr">
        <is>
          <t>Wiring Harness Design &amp; Documentation</t>
        </is>
      </c>
      <c r="C6" s="15" t="inlineStr">
        <is>
          <t>Ongoing</t>
        </is>
      </c>
      <c r="D6" s="15" t="inlineStr">
        <is>
          <t>In Progress</t>
        </is>
      </c>
      <c r="E6" s="15" t="inlineStr">
        <is>
          <t>P1 – Urgent</t>
        </is>
      </c>
      <c r="F6" s="15" t="n">
        <v>1</v>
      </c>
      <c r="G6" s="15" t="inlineStr">
        <is>
          <t>4/8</t>
        </is>
      </c>
      <c r="H6" s="15" t="inlineStr">
        <is>
          <t>—</t>
        </is>
      </c>
      <c r="I6" s="15" t="inlineStr">
        <is>
          <t>—</t>
        </is>
      </c>
    </row>
    <row r="7">
      <c r="B7" s="16" t="inlineStr">
        <is>
          <t>Wiring Harness Construction</t>
        </is>
      </c>
      <c r="C7" s="16" t="inlineStr">
        <is>
          <t>Ongoing</t>
        </is>
      </c>
      <c r="D7" s="16" t="inlineStr">
        <is>
          <t>In Progress</t>
        </is>
      </c>
      <c r="E7" s="16" t="inlineStr">
        <is>
          <t>P1 – Urgent</t>
        </is>
      </c>
      <c r="F7" s="16" t="n">
        <v>4</v>
      </c>
      <c r="G7" s="16" t="inlineStr">
        <is>
          <t>3/16</t>
        </is>
      </c>
      <c r="H7" s="16" t="inlineStr">
        <is>
          <t>—</t>
        </is>
      </c>
      <c r="I7" s="16" t="inlineStr">
        <is>
          <t>—</t>
        </is>
      </c>
    </row>
    <row r="8">
      <c r="B8" s="15" t="inlineStr">
        <is>
          <t>Harness Cost Report</t>
        </is>
      </c>
      <c r="C8" s="15" t="inlineStr">
        <is>
          <t>Ongoing</t>
        </is>
      </c>
      <c r="D8" s="15" t="inlineStr">
        <is>
          <t>Not Started</t>
        </is>
      </c>
      <c r="E8" s="15" t="inlineStr">
        <is>
          <t>P1 – Urgent</t>
        </is>
      </c>
      <c r="F8" s="15" t="n">
        <v>3</v>
      </c>
      <c r="G8" s="15" t="inlineStr">
        <is>
          <t>0/11</t>
        </is>
      </c>
      <c r="H8" s="15" t="inlineStr">
        <is>
          <t>—</t>
        </is>
      </c>
      <c r="I8" s="15" t="inlineStr">
        <is>
          <t>—</t>
        </is>
      </c>
    </row>
    <row r="9">
      <c r="B9" s="16" t="inlineStr">
        <is>
          <t>Harness Design Brief</t>
        </is>
      </c>
      <c r="C9" s="16" t="inlineStr">
        <is>
          <t>Weekly</t>
        </is>
      </c>
      <c r="D9" s="16" t="inlineStr">
        <is>
          <t>Not Started</t>
        </is>
      </c>
      <c r="E9" s="16" t="inlineStr">
        <is>
          <t>P2 – High</t>
        </is>
      </c>
      <c r="F9" s="16" t="n">
        <v>2</v>
      </c>
      <c r="G9" s="16" t="inlineStr">
        <is>
          <t>0/10</t>
        </is>
      </c>
      <c r="H9" s="16" t="inlineStr">
        <is>
          <t>—</t>
        </is>
      </c>
      <c r="I9" s="16" t="inlineStr">
        <is>
          <t>—</t>
        </is>
      </c>
    </row>
    <row r="10">
      <c r="B10" s="15" t="inlineStr">
        <is>
          <t>Harness Design Binder</t>
        </is>
      </c>
      <c r="C10" s="15" t="inlineStr">
        <is>
          <t>Weekly</t>
        </is>
      </c>
      <c r="D10" s="15" t="inlineStr">
        <is>
          <t>Not Started</t>
        </is>
      </c>
      <c r="E10" s="15" t="inlineStr">
        <is>
          <t>P3 – Medium</t>
        </is>
      </c>
      <c r="F10" s="15" t="n">
        <v>2</v>
      </c>
      <c r="G10" s="15" t="inlineStr">
        <is>
          <t>0/9</t>
        </is>
      </c>
      <c r="H10" s="15" t="inlineStr">
        <is>
          <t>—</t>
        </is>
      </c>
      <c r="I10" s="15" t="inlineStr">
        <is>
          <t>—</t>
        </is>
      </c>
    </row>
    <row r="12">
      <c r="B12" s="12" t="inlineStr">
        <is>
          <t>Weekly Schedule</t>
        </is>
      </c>
    </row>
    <row r="13">
      <c r="B13" s="14" t="inlineStr">
        <is>
          <t>Priority</t>
        </is>
      </c>
      <c r="C13" s="14" t="inlineStr">
        <is>
          <t>Tue 03/24</t>
        </is>
      </c>
      <c r="D13" s="14" t="inlineStr">
        <is>
          <t>Wed 03/25</t>
        </is>
      </c>
      <c r="E13" s="14" t="inlineStr">
        <is>
          <t>Thu 03/26</t>
        </is>
      </c>
      <c r="F13" s="14" t="inlineStr">
        <is>
          <t>Fri 03/27</t>
        </is>
      </c>
      <c r="G13" s="14" t="inlineStr">
        <is>
          <t>Sat 03/28</t>
        </is>
      </c>
      <c r="H13" s="14" t="inlineStr">
        <is>
          <t>Sun 03/29</t>
        </is>
      </c>
      <c r="I13" s="14" t="inlineStr">
        <is>
          <t>Mon 03/30</t>
        </is>
      </c>
    </row>
    <row r="14">
      <c r="B14" s="24" t="inlineStr">
        <is>
          <t>P1 – Urgent</t>
        </is>
      </c>
      <c r="C14" s="25" t="inlineStr">
        <is>
          <t>Shutdown Circuit (SDC) Installation</t>
        </is>
      </c>
      <c r="D14" s="25" t="inlineStr">
        <is>
          <t>Cost Report Compilation &amp; Submission</t>
        </is>
      </c>
      <c r="E14" s="26" t="inlineStr"/>
      <c r="F14" s="27" t="inlineStr"/>
      <c r="G14" s="26" t="inlineStr"/>
      <c r="H14" s="27" t="inlineStr"/>
      <c r="I14" s="26" t="inlineStr"/>
    </row>
    <row r="15">
      <c r="B15" s="24" t="inlineStr">
        <is>
          <t>P2 – High</t>
        </is>
      </c>
      <c r="C15" s="28" t="inlineStr">
        <is>
          <t>Wiring Diagrams &amp; Legends</t>
        </is>
      </c>
      <c r="D15" s="25" t="inlineStr">
        <is>
          <t>Assembly Structure &amp; Part Numbers</t>
        </is>
      </c>
      <c r="E15" s="25" t="inlineStr">
        <is>
          <t>Pin &amp; Label All Wires</t>
        </is>
      </c>
      <c r="F15" s="25" t="inlineStr">
        <is>
          <t>Parts Itemization</t>
        </is>
      </c>
      <c r="G15" s="25" t="inlineStr">
        <is>
          <t>Connector Installation</t>
        </is>
      </c>
      <c r="H15" s="25" t="inlineStr">
        <is>
          <t>Taping, Sheathing &amp; Sealing</t>
        </is>
      </c>
      <c r="I15" s="25" t="inlineStr">
        <is>
          <t>Design Brief Content Development</t>
        </is>
      </c>
    </row>
    <row r="16">
      <c r="B16" s="24" t="inlineStr">
        <is>
          <t>P3 – Medium</t>
        </is>
      </c>
      <c r="C16" s="25" t="inlineStr">
        <is>
          <t>Design Brief Review &amp; Submission</t>
        </is>
      </c>
      <c r="D16" s="25" t="inlineStr">
        <is>
          <t>Design Binder Compilation</t>
        </is>
      </c>
      <c r="E16" s="25" t="inlineStr">
        <is>
          <t>Final Binder Review &amp; Submission</t>
        </is>
      </c>
      <c r="F16" s="27" t="inlineStr"/>
      <c r="G16" s="26" t="inlineStr"/>
      <c r="H16" s="27" t="inlineStr"/>
      <c r="I16" s="26" t="inlineStr"/>
    </row>
    <row r="17">
      <c r="B17" s="24" t="inlineStr">
        <is>
          <t>P4 – Low</t>
        </is>
      </c>
      <c r="C17" s="27" t="inlineStr"/>
      <c r="D17" s="26" t="inlineStr"/>
      <c r="E17" s="27" t="inlineStr"/>
      <c r="F17" s="26" t="inlineStr"/>
      <c r="G17" s="27" t="inlineStr"/>
      <c r="H17" s="26" t="inlineStr"/>
      <c r="I17" s="27" t="inlineStr"/>
    </row>
    <row r="18">
      <c r="B18" s="24" t="inlineStr">
        <is>
          <t>P5 – Background</t>
        </is>
      </c>
      <c r="C18" s="26" t="inlineStr"/>
      <c r="D18" s="27" t="inlineStr"/>
      <c r="E18" s="26" t="inlineStr"/>
      <c r="F18" s="27" t="inlineStr"/>
      <c r="G18" s="26" t="inlineStr"/>
      <c r="H18" s="27" t="inlineStr"/>
      <c r="I18" s="26" t="inlineStr"/>
    </row>
    <row r="20">
      <c r="B20" s="12" t="inlineStr">
        <is>
          <t>Time Overview</t>
        </is>
      </c>
    </row>
    <row r="21">
      <c r="B21" s="14" t="inlineStr">
        <is>
          <t>Project</t>
        </is>
      </c>
      <c r="C21" s="14" t="inlineStr">
        <is>
          <t>Allocated (hrs)</t>
        </is>
      </c>
      <c r="D21" s="14" t="inlineStr">
        <is>
          <t>Spent (hrs)</t>
        </is>
      </c>
      <c r="E21" s="14" t="inlineStr">
        <is>
          <t>Remaining (hrs)</t>
        </is>
      </c>
      <c r="F21" s="14" t="inlineStr">
        <is>
          <t>Utilization %</t>
        </is>
      </c>
    </row>
    <row r="22">
      <c r="B22" s="15" t="inlineStr">
        <is>
          <t>Wiring Harness Design &amp; Documentation</t>
        </is>
      </c>
      <c r="C22" s="15" t="inlineStr">
        <is>
          <t>—</t>
        </is>
      </c>
      <c r="D22" s="15" t="inlineStr">
        <is>
          <t>—</t>
        </is>
      </c>
      <c r="E22" s="15" t="inlineStr">
        <is>
          <t>—</t>
        </is>
      </c>
      <c r="F22" s="15" t="inlineStr">
        <is>
          <t>—</t>
        </is>
      </c>
    </row>
    <row r="23">
      <c r="B23" s="16" t="inlineStr">
        <is>
          <t>Wiring Harness Construction</t>
        </is>
      </c>
      <c r="C23" s="16" t="inlineStr">
        <is>
          <t>—</t>
        </is>
      </c>
      <c r="D23" s="16" t="inlineStr">
        <is>
          <t>—</t>
        </is>
      </c>
      <c r="E23" s="16" t="inlineStr">
        <is>
          <t>—</t>
        </is>
      </c>
      <c r="F23" s="16" t="inlineStr">
        <is>
          <t>—</t>
        </is>
      </c>
    </row>
    <row r="24">
      <c r="B24" s="15" t="inlineStr">
        <is>
          <t>Harness Cost Report</t>
        </is>
      </c>
      <c r="C24" s="15" t="inlineStr">
        <is>
          <t>—</t>
        </is>
      </c>
      <c r="D24" s="15" t="inlineStr">
        <is>
          <t>—</t>
        </is>
      </c>
      <c r="E24" s="15" t="inlineStr">
        <is>
          <t>—</t>
        </is>
      </c>
      <c r="F24" s="15" t="inlineStr">
        <is>
          <t>—</t>
        </is>
      </c>
    </row>
    <row r="25">
      <c r="B25" s="16" t="inlineStr">
        <is>
          <t>Harness Design Brief</t>
        </is>
      </c>
      <c r="C25" s="16" t="inlineStr">
        <is>
          <t>—</t>
        </is>
      </c>
      <c r="D25" s="16" t="inlineStr">
        <is>
          <t>—</t>
        </is>
      </c>
      <c r="E25" s="16" t="inlineStr">
        <is>
          <t>—</t>
        </is>
      </c>
      <c r="F25" s="16" t="inlineStr">
        <is>
          <t>—</t>
        </is>
      </c>
    </row>
    <row r="26">
      <c r="B26" s="15" t="inlineStr">
        <is>
          <t>Harness Design Binder</t>
        </is>
      </c>
      <c r="C26" s="15" t="inlineStr">
        <is>
          <t>—</t>
        </is>
      </c>
      <c r="D26" s="15" t="inlineStr">
        <is>
          <t>—</t>
        </is>
      </c>
      <c r="E26" s="15" t="inlineStr">
        <is>
          <t>—</t>
        </is>
      </c>
      <c r="F26" s="15" t="inlineStr">
        <is>
          <t>—</t>
        </is>
      </c>
    </row>
    <row r="27">
      <c r="B27" s="29" t="inlineStr">
        <is>
          <t>TOTAL</t>
        </is>
      </c>
      <c r="C27" s="29" t="inlineStr">
        <is>
          <t>—</t>
        </is>
      </c>
      <c r="D27" s="29" t="inlineStr">
        <is>
          <t>—</t>
        </is>
      </c>
      <c r="E27" s="29" t="inlineStr">
        <is>
          <t>—</t>
        </is>
      </c>
      <c r="F27" s="29" t="inlineStr">
        <is>
          <t>—</t>
        </is>
      </c>
    </row>
    <row r="29">
      <c r="B29" s="12" t="inlineStr">
        <is>
          <t>Upcoming Deadlines (Next 14 Days)</t>
        </is>
      </c>
    </row>
    <row r="30">
      <c r="B30" s="14" t="inlineStr">
        <is>
          <t>Deadline</t>
        </is>
      </c>
      <c r="C30" s="14" t="inlineStr">
        <is>
          <t>Item</t>
        </is>
      </c>
      <c r="D30" s="14" t="inlineStr">
        <is>
          <t>Status</t>
        </is>
      </c>
      <c r="E30" s="14" t="inlineStr">
        <is>
          <t>Parent</t>
        </is>
      </c>
    </row>
    <row r="31">
      <c r="B31" s="15" t="inlineStr">
        <is>
          <t>2026-03-25</t>
        </is>
      </c>
      <c r="C31" s="15" t="inlineStr">
        <is>
          <t>Source and verify SDC components</t>
        </is>
      </c>
      <c r="D31" s="15" t="inlineStr">
        <is>
          <t>Not Started</t>
        </is>
      </c>
      <c r="E31" s="15" t="inlineStr">
        <is>
          <t>Shutdown Circuit (SDC) Installation</t>
        </is>
      </c>
    </row>
    <row r="32">
      <c r="B32" s="16" t="inlineStr">
        <is>
          <t>2026-03-25</t>
        </is>
      </c>
      <c r="C32" s="16" t="inlineStr">
        <is>
          <t>Define assembly hierarchy</t>
        </is>
      </c>
      <c r="D32" s="16" t="inlineStr">
        <is>
          <t>Not Started</t>
        </is>
      </c>
      <c r="E32" s="16" t="inlineStr">
        <is>
          <t>Assembly Structure &amp; Part Numbers</t>
        </is>
      </c>
    </row>
    <row r="33">
      <c r="B33" s="15" t="inlineStr">
        <is>
          <t>2026-03-26</t>
        </is>
      </c>
      <c r="C33" s="15" t="inlineStr">
        <is>
          <t>Create part numbering scheme</t>
        </is>
      </c>
      <c r="D33" s="15" t="inlineStr">
        <is>
          <t>Not Started</t>
        </is>
      </c>
      <c r="E33" s="15" t="inlineStr">
        <is>
          <t>Assembly Structure &amp; Part Numbers</t>
        </is>
      </c>
    </row>
    <row r="34">
      <c r="B34" s="16" t="inlineStr">
        <is>
          <t>2026-03-28</t>
        </is>
      </c>
      <c r="C34" s="16" t="inlineStr">
        <is>
          <t>Route SDC wiring through harness</t>
        </is>
      </c>
      <c r="D34" s="16" t="inlineStr">
        <is>
          <t>Not Started</t>
        </is>
      </c>
      <c r="E34" s="16" t="inlineStr">
        <is>
          <t>Shutdown Circuit (SDC) Installation</t>
        </is>
      </c>
    </row>
    <row r="35">
      <c r="B35" s="15" t="inlineStr">
        <is>
          <t>2026-03-30</t>
        </is>
      </c>
      <c r="C35" s="15" t="inlineStr">
        <is>
          <t>Wiring Diagrams &amp; Legends</t>
        </is>
      </c>
      <c r="D35" s="15" t="inlineStr">
        <is>
          <t>In Progress</t>
        </is>
      </c>
      <c r="E35" s="15" t="inlineStr">
        <is>
          <t>Wiring Harness Design &amp; Documentation</t>
        </is>
      </c>
    </row>
    <row r="36">
      <c r="B36" s="16" t="inlineStr">
        <is>
          <t>2026-03-30</t>
        </is>
      </c>
      <c r="C36" s="16" t="inlineStr">
        <is>
          <t>Create harness assembly drawing</t>
        </is>
      </c>
      <c r="D36" s="16" t="inlineStr">
        <is>
          <t>In Progress</t>
        </is>
      </c>
      <c r="E36" s="16" t="inlineStr">
        <is>
          <t>Wiring Diagrams &amp; Legends</t>
        </is>
      </c>
    </row>
    <row r="37">
      <c r="B37" s="15" t="inlineStr">
        <is>
          <t>2026-03-30</t>
        </is>
      </c>
      <c r="C37" s="15" t="inlineStr">
        <is>
          <t>Crimp pins and terminals on all wire ends</t>
        </is>
      </c>
      <c r="D37" s="15" t="inlineStr">
        <is>
          <t>Not Started</t>
        </is>
      </c>
      <c r="E37" s="15" t="inlineStr">
        <is>
          <t>Pin &amp; Label All Wires</t>
        </is>
      </c>
    </row>
    <row r="38">
      <c r="B38" s="16" t="inlineStr">
        <is>
          <t>2026-03-30</t>
        </is>
      </c>
      <c r="C38" s="16" t="inlineStr">
        <is>
          <t>Assembly Structure &amp; Part Numbers</t>
        </is>
      </c>
      <c r="D38" s="16" t="inlineStr">
        <is>
          <t>Not Started</t>
        </is>
      </c>
      <c r="E38" s="16" t="inlineStr">
        <is>
          <t>Harness Cost Report</t>
        </is>
      </c>
    </row>
    <row r="39">
      <c r="B39" s="15" t="inlineStr">
        <is>
          <t>2026-03-30</t>
        </is>
      </c>
      <c r="C39" s="15" t="inlineStr">
        <is>
          <t>Assign part numbers to all components</t>
        </is>
      </c>
      <c r="D39" s="15" t="inlineStr">
        <is>
          <t>Not Started</t>
        </is>
      </c>
      <c r="E39" s="15" t="inlineStr">
        <is>
          <t>Assembly Structure &amp; Part Numbers</t>
        </is>
      </c>
    </row>
    <row r="40">
      <c r="B40" s="16" t="inlineStr">
        <is>
          <t>2026-04-01</t>
        </is>
      </c>
      <c r="C40" s="16" t="inlineStr">
        <is>
          <t>Shutdown Circuit (SDC) Installation</t>
        </is>
      </c>
      <c r="D40" s="16" t="inlineStr">
        <is>
          <t>Not Started</t>
        </is>
      </c>
      <c r="E40" s="16" t="inlineStr">
        <is>
          <t>Wiring Harness Construction</t>
        </is>
      </c>
    </row>
    <row r="41">
      <c r="B41" s="15" t="inlineStr">
        <is>
          <t>2026-04-01</t>
        </is>
      </c>
      <c r="C41" s="15" t="inlineStr">
        <is>
          <t>Integrate SDC into harness and test loop continuity</t>
        </is>
      </c>
      <c r="D41" s="15" t="inlineStr">
        <is>
          <t>Not Started</t>
        </is>
      </c>
      <c r="E41" s="15" t="inlineStr">
        <is>
          <t>Shutdown Circuit (SDC) Installation</t>
        </is>
      </c>
    </row>
    <row r="42">
      <c r="B42" s="16" t="inlineStr">
        <is>
          <t>2026-04-01</t>
        </is>
      </c>
      <c r="C42" s="16" t="inlineStr">
        <is>
          <t>Apply wire labels and heat-shrink IDs</t>
        </is>
      </c>
      <c r="D42" s="16" t="inlineStr">
        <is>
          <t>Not Started</t>
        </is>
      </c>
      <c r="E42" s="16" t="inlineStr">
        <is>
          <t>Pin &amp; Label All Wires</t>
        </is>
      </c>
    </row>
    <row r="43">
      <c r="B43" s="15" t="inlineStr">
        <is>
          <t>2026-04-01</t>
        </is>
      </c>
      <c r="C43" s="15" t="inlineStr">
        <is>
          <t>Itemize all wires — gauge, color, length, quantity</t>
        </is>
      </c>
      <c r="D43" s="15" t="inlineStr">
        <is>
          <t>Not Started</t>
        </is>
      </c>
      <c r="E43" s="15" t="inlineStr">
        <is>
          <t>Parts Itemization</t>
        </is>
      </c>
    </row>
    <row r="44">
      <c r="B44" s="16" t="inlineStr">
        <is>
          <t>2026-04-02</t>
        </is>
      </c>
      <c r="C44" s="16" t="inlineStr">
        <is>
          <t>Itemize connectors, pins, and terminals</t>
        </is>
      </c>
      <c r="D44" s="16" t="inlineStr">
        <is>
          <t>Not Started</t>
        </is>
      </c>
      <c r="E44" s="16" t="inlineStr">
        <is>
          <t>Parts Itemization</t>
        </is>
      </c>
    </row>
    <row r="45">
      <c r="B45" s="15" t="inlineStr">
        <is>
          <t>2026-04-03</t>
        </is>
      </c>
      <c r="C45" s="15" t="inlineStr">
        <is>
          <t>Pin &amp; Label All Wires</t>
        </is>
      </c>
      <c r="D45" s="15" t="inlineStr">
        <is>
          <t>Not Started</t>
        </is>
      </c>
      <c r="E45" s="15" t="inlineStr">
        <is>
          <t>Wiring Harness Construction</t>
        </is>
      </c>
    </row>
    <row r="46">
      <c r="B46" s="16" t="inlineStr">
        <is>
          <t>2026-04-03</t>
        </is>
      </c>
      <c r="C46" s="16" t="inlineStr">
        <is>
          <t>Continuity check on all pinned wires</t>
        </is>
      </c>
      <c r="D46" s="16" t="inlineStr">
        <is>
          <t>Not Started</t>
        </is>
      </c>
      <c r="E46" s="16" t="inlineStr">
        <is>
          <t>Pin &amp; Label All Wires</t>
        </is>
      </c>
    </row>
    <row r="47">
      <c r="B47" s="15" t="inlineStr">
        <is>
          <t>2026-04-03</t>
        </is>
      </c>
      <c r="C47" s="15" t="inlineStr">
        <is>
          <t>Install inline connectors</t>
        </is>
      </c>
      <c r="D47" s="15" t="inlineStr">
        <is>
          <t>Not Started</t>
        </is>
      </c>
      <c r="E47" s="15" t="inlineStr">
        <is>
          <t>Connector Installation</t>
        </is>
      </c>
    </row>
    <row r="48">
      <c r="B48" s="16" t="inlineStr">
        <is>
          <t>2026-04-03</t>
        </is>
      </c>
      <c r="C48" s="16" t="inlineStr">
        <is>
          <t>Itemize consumables — tape, sheathing, heat-shrink, seals</t>
        </is>
      </c>
      <c r="D48" s="16" t="inlineStr">
        <is>
          <t>Not Started</t>
        </is>
      </c>
      <c r="E48" s="16" t="inlineStr">
        <is>
          <t>Parts Itemization</t>
        </is>
      </c>
    </row>
    <row r="49">
      <c r="B49" s="15" t="inlineStr">
        <is>
          <t>2026-04-04</t>
        </is>
      </c>
      <c r="C49" s="15" t="inlineStr">
        <is>
          <t>Install bulkhead and panel-mount connectors</t>
        </is>
      </c>
      <c r="D49" s="15" t="inlineStr">
        <is>
          <t>Not Started</t>
        </is>
      </c>
      <c r="E49" s="15" t="inlineStr">
        <is>
          <t>Connector Installation</t>
        </is>
      </c>
    </row>
    <row r="50">
      <c r="B50" s="16" t="inlineStr">
        <is>
          <t>2026-04-05</t>
        </is>
      </c>
      <c r="C50" s="16" t="inlineStr">
        <is>
          <t>Connector Installation</t>
        </is>
      </c>
      <c r="D50" s="16" t="inlineStr">
        <is>
          <t>Not Started</t>
        </is>
      </c>
      <c r="E50" s="16" t="inlineStr">
        <is>
          <t>Wiring Harness Construction</t>
        </is>
      </c>
    </row>
    <row r="51">
      <c r="B51" s="15" t="inlineStr">
        <is>
          <t>2026-04-05</t>
        </is>
      </c>
      <c r="C51" s="15" t="inlineStr">
        <is>
          <t>Verify connector seating and pin retention</t>
        </is>
      </c>
      <c r="D51" s="15" t="inlineStr">
        <is>
          <t>Not Started</t>
        </is>
      </c>
      <c r="E51" s="15" t="inlineStr">
        <is>
          <t>Connector Installation</t>
        </is>
      </c>
    </row>
    <row r="52">
      <c r="B52" s="16" t="inlineStr">
        <is>
          <t>2026-04-05</t>
        </is>
      </c>
      <c r="C52" s="16" t="inlineStr">
        <is>
          <t>Parts Itemization</t>
        </is>
      </c>
      <c r="D52" s="16" t="inlineStr">
        <is>
          <t>Not Started</t>
        </is>
      </c>
      <c r="E52" s="16" t="inlineStr">
        <is>
          <t>Harness Cost Report</t>
        </is>
      </c>
    </row>
    <row r="53">
      <c r="B53" s="15" t="inlineStr">
        <is>
          <t>2026-04-05</t>
        </is>
      </c>
      <c r="C53" s="15" t="inlineStr">
        <is>
          <t>Itemize relays, fuses, and miscellaneous electrical components</t>
        </is>
      </c>
      <c r="D53" s="15" t="inlineStr">
        <is>
          <t>Not Started</t>
        </is>
      </c>
      <c r="E53" s="15" t="inlineStr">
        <is>
          <t>Parts Itemization</t>
        </is>
      </c>
    </row>
    <row r="54">
      <c r="B54" s="16" t="inlineStr">
        <is>
          <t>2026-04-06</t>
        </is>
      </c>
      <c r="C54" s="16" t="inlineStr">
        <is>
          <t>Tape wire bundles at branch points</t>
        </is>
      </c>
      <c r="D54" s="16" t="inlineStr">
        <is>
          <t>Not Started</t>
        </is>
      </c>
      <c r="E54" s="16" t="inlineStr">
        <is>
          <t>Taping, Sheathing &amp; Sealing</t>
        </is>
      </c>
    </row>
    <row r="55">
      <c r="B55" s="15" t="inlineStr">
        <is>
          <t>2026-04-06</t>
        </is>
      </c>
      <c r="C55" s="15" t="inlineStr">
        <is>
          <t>Source pricing for all line items</t>
        </is>
      </c>
      <c r="D55" s="15" t="inlineStr">
        <is>
          <t>Not Started</t>
        </is>
      </c>
      <c r="E55" s="15" t="inlineStr">
        <is>
          <t>Cost Report Compilation &amp; Submission</t>
        </is>
      </c>
    </row>
    <row r="56">
      <c r="B56" s="16" t="inlineStr">
        <is>
          <t>2026-04-07</t>
        </is>
      </c>
      <c r="C56" s="16" t="inlineStr">
        <is>
          <t>Apply protective sheathing and loom</t>
        </is>
      </c>
      <c r="D56" s="16" t="inlineStr">
        <is>
          <t>Not Started</t>
        </is>
      </c>
      <c r="E56" s="16" t="inlineStr">
        <is>
          <t>Taping, Sheathing &amp; Sealing</t>
        </is>
      </c>
    </row>
  </sheetData>
  <mergeCells count="6">
    <mergeCell ref="B12:I12"/>
    <mergeCell ref="B2:I2"/>
    <mergeCell ref="B1:I1"/>
    <mergeCell ref="B29:I29"/>
    <mergeCell ref="B20:I20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336BBF"/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style="6" min="1" max="1"/>
    <col width="30" customWidth="1" style="6" min="2" max="2"/>
    <col width="14" customWidth="1" style="6" min="3" max="3"/>
    <col width="20" customWidth="1" style="6" min="4" max="4"/>
    <col width="18" customWidth="1" style="6" min="5" max="5"/>
    <col width="40" customWidth="1" style="6" min="6" max="6"/>
    <col width="14" customWidth="1" style="6" min="7" max="7"/>
    <col width="10" customWidth="1" style="6" min="8" max="8"/>
    <col width="14" customWidth="1" style="6" min="9" max="11"/>
    <col width="16" customWidth="1" style="6" min="12" max="12"/>
    <col width="40" customWidth="1" style="6" min="13" max="13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Supervisor</t>
        </is>
      </c>
      <c r="E1" s="1" t="inlineStr">
        <is>
          <t>Site</t>
        </is>
      </c>
      <c r="F1" s="1" t="inlineStr">
        <is>
          <t>Description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Start Date</t>
        </is>
      </c>
      <c r="J1" s="1" t="inlineStr">
        <is>
          <t>End Date</t>
        </is>
      </c>
      <c r="K1" s="1" t="inlineStr">
        <is>
          <t>Deadline</t>
        </is>
      </c>
      <c r="L1" s="1" t="inlineStr">
        <is>
          <t>Date Completed</t>
        </is>
      </c>
      <c r="M1" s="1" t="inlineStr">
        <is>
          <t>Notes</t>
        </is>
      </c>
    </row>
    <row r="2">
      <c r="A2" t="inlineStr">
        <is>
          <t>P-001</t>
        </is>
      </c>
      <c r="B2" t="inlineStr">
        <is>
          <t>Wiring Harness Design &amp; Documentation</t>
        </is>
      </c>
      <c r="C2" t="inlineStr">
        <is>
          <t>Ongoing</t>
        </is>
      </c>
      <c r="D2" t="inlineStr"/>
      <c r="E2" t="inlineStr"/>
      <c r="F2" t="inlineStr">
        <is>
          <t>Complete all design schematics, wiring diagrams, legends, and technical documentation for the FSAE wiring harness.</t>
        </is>
      </c>
      <c r="G2" t="inlineStr">
        <is>
          <t>In Progress</t>
        </is>
      </c>
      <c r="H2" t="inlineStr"/>
      <c r="I2" s="8" t="n">
        <v>45962</v>
      </c>
      <c r="J2" s="8" t="n">
        <v>46111</v>
      </c>
      <c r="K2" s="8" t="n">
        <v>46122</v>
      </c>
      <c r="M2" t="inlineStr"/>
    </row>
    <row r="3">
      <c r="A3" t="inlineStr">
        <is>
          <t>P-002</t>
        </is>
      </c>
      <c r="B3" t="inlineStr">
        <is>
          <t>Wiring Harness Construction</t>
        </is>
      </c>
      <c r="C3" t="inlineStr">
        <is>
          <t>Ongoing</t>
        </is>
      </c>
      <c r="D3" t="inlineStr"/>
      <c r="E3" t="inlineStr"/>
      <c r="F3" t="inlineStr">
        <is>
          <t>Physical build of the FSAE wiring harness — from form board through final sealed assembly.</t>
        </is>
      </c>
      <c r="G3" t="inlineStr">
        <is>
          <t>In Progress</t>
        </is>
      </c>
      <c r="H3" t="inlineStr"/>
      <c r="I3" s="8" t="n">
        <v>46037</v>
      </c>
      <c r="K3" s="8" t="n">
        <v>46122</v>
      </c>
      <c r="M3" t="inlineStr"/>
    </row>
    <row r="4">
      <c r="A4" t="inlineStr">
        <is>
          <t>P-003</t>
        </is>
      </c>
      <c r="B4" t="inlineStr">
        <is>
          <t>Harness Cost Report</t>
        </is>
      </c>
      <c r="C4" t="inlineStr">
        <is>
          <t>Ongoing</t>
        </is>
      </c>
      <c r="D4" t="inlineStr"/>
      <c r="E4" t="inlineStr"/>
      <c r="F4" t="inlineStr">
        <is>
          <t>FSAE cost report for the wiring harness — assembly structure, part numbers, BOM, and pricing.</t>
        </is>
      </c>
      <c r="G4" t="inlineStr">
        <is>
          <t>Not Started</t>
        </is>
      </c>
      <c r="H4" t="inlineStr"/>
      <c r="I4" s="8" t="n">
        <v>46104</v>
      </c>
      <c r="K4" s="8" t="n">
        <v>46122</v>
      </c>
      <c r="M4" t="inlineStr"/>
    </row>
    <row r="5">
      <c r="A5" t="inlineStr">
        <is>
          <t>P-004</t>
        </is>
      </c>
      <c r="B5" t="inlineStr">
        <is>
          <t>Harness Design Brief</t>
        </is>
      </c>
      <c r="C5" t="inlineStr">
        <is>
          <t>Weekly</t>
        </is>
      </c>
      <c r="D5" t="inlineStr"/>
      <c r="E5" t="inlineStr"/>
      <c r="F5" t="inlineStr">
        <is>
          <t>6-slide presentation outlining all key design decisions for the FSAE wiring harness.</t>
        </is>
      </c>
      <c r="G5" t="inlineStr">
        <is>
          <t>Not Started</t>
        </is>
      </c>
      <c r="H5" t="inlineStr"/>
      <c r="I5" s="8" t="n">
        <v>46123</v>
      </c>
      <c r="K5" s="8" t="n">
        <v>46159</v>
      </c>
      <c r="M5" t="inlineStr"/>
    </row>
    <row r="6">
      <c r="A6" t="inlineStr">
        <is>
          <t>P-005</t>
        </is>
      </c>
      <c r="B6" t="inlineStr">
        <is>
          <t>Harness Design Binder</t>
        </is>
      </c>
      <c r="C6" t="inlineStr">
        <is>
          <t>Weekly</t>
        </is>
      </c>
      <c r="D6" t="inlineStr"/>
      <c r="E6" t="inlineStr"/>
      <c r="F6" t="inlineStr">
        <is>
          <t>Compile all harness documentation — schematics, diagrams, legends, cost report, design brief, test records — into a single design binder.</t>
        </is>
      </c>
      <c r="G6" t="inlineStr">
        <is>
          <t>Not Started</t>
        </is>
      </c>
      <c r="H6" t="inlineStr"/>
      <c r="I6" s="8" t="n">
        <v>46160</v>
      </c>
      <c r="K6" s="8" t="n">
        <v>46174</v>
      </c>
      <c r="M6" t="inlineStr"/>
    </row>
  </sheetData>
  <dataValidations count="1">
    <dataValidation sqref="C2:C1000" showDropDown="0" showInputMessage="0" showErrorMessage="0" allowBlank="1" errorTitle="Invalid Value" error="Please select from: Weekly, Ongoing, Completed" type="list">
      <formula1>"Weekly,Ongoing,Completed"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36BBF"/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style="6" min="1" max="2"/>
    <col width="30" customWidth="1" style="6" min="3" max="3"/>
    <col width="40" customWidth="1" style="6" min="4" max="4"/>
    <col width="20" customWidth="1" style="6" min="5" max="5"/>
    <col width="18" customWidth="1" style="6" min="6" max="6"/>
    <col width="14" customWidth="1" style="6" min="7" max="7"/>
    <col width="10" customWidth="1" style="6" min="8" max="8"/>
    <col width="14" customWidth="1" style="6" min="9" max="11"/>
    <col width="40" customWidth="1" style="6" min="12" max="12"/>
    <col width="16" customWidth="1" style="6" min="13" max="13"/>
  </cols>
  <sheetData>
    <row r="1">
      <c r="A1" s="1" t="inlineStr">
        <is>
          <t>Task ID</t>
        </is>
      </c>
      <c r="B1" s="1" t="inlineStr">
        <is>
          <t>Project 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Supervisor</t>
        </is>
      </c>
      <c r="F1" s="1" t="inlineStr">
        <is>
          <t>Site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Start Date</t>
        </is>
      </c>
      <c r="J1" s="1" t="inlineStr">
        <is>
          <t>End Date</t>
        </is>
      </c>
      <c r="K1" s="1" t="inlineStr">
        <is>
          <t>Deadline</t>
        </is>
      </c>
      <c r="L1" s="1" t="inlineStr">
        <is>
          <t>Status Commentary</t>
        </is>
      </c>
      <c r="M1" s="1" t="inlineStr">
        <is>
          <t>Date Completed</t>
        </is>
      </c>
    </row>
    <row r="2">
      <c r="A2" t="inlineStr">
        <is>
          <t>T-001</t>
        </is>
      </c>
      <c r="B2" t="inlineStr">
        <is>
          <t>P-001</t>
        </is>
      </c>
      <c r="C2" t="inlineStr">
        <is>
          <t>Harness Schematic Design</t>
        </is>
      </c>
      <c r="D2" t="inlineStr">
        <is>
          <t>Create the full electrical schematic for the wiring harness including all circuits, power distribution, and grounding.</t>
        </is>
      </c>
      <c r="E2" t="inlineStr"/>
      <c r="F2" t="inlineStr">
        <is>
          <t>UA</t>
        </is>
      </c>
      <c r="G2" t="inlineStr">
        <is>
          <t>Completed</t>
        </is>
      </c>
      <c r="H2" t="n">
        <v>1</v>
      </c>
      <c r="I2" s="8" t="n">
        <v>45962</v>
      </c>
      <c r="J2" s="8" t="n">
        <v>46037</v>
      </c>
      <c r="K2" s="8" t="n">
        <v>46037</v>
      </c>
      <c r="L2" t="inlineStr">
        <is>
          <t>Schematic design phase complete. All circuits defined.</t>
        </is>
      </c>
      <c r="M2" s="8" t="n">
        <v>46037</v>
      </c>
    </row>
    <row r="3">
      <c r="A3" t="inlineStr">
        <is>
          <t>T-002</t>
        </is>
      </c>
      <c r="B3" t="inlineStr">
        <is>
          <t>P-001</t>
        </is>
      </c>
      <c r="C3" t="inlineStr">
        <is>
          <t>Wiring Diagrams &amp; Legends</t>
        </is>
      </c>
      <c r="D3" t="inlineStr">
        <is>
          <t>Produce detailed wiring diagrams and legend documentation for all harness circuits and connectors.</t>
        </is>
      </c>
      <c r="E3" t="inlineStr"/>
      <c r="F3" t="inlineStr">
        <is>
          <t>UA</t>
        </is>
      </c>
      <c r="G3" t="inlineStr">
        <is>
          <t>In Progress</t>
        </is>
      </c>
      <c r="H3" t="n">
        <v>2</v>
      </c>
      <c r="I3" s="8" t="n">
        <v>45992</v>
      </c>
      <c r="K3" s="8" t="n">
        <v>46111</v>
      </c>
      <c r="L3" t="inlineStr">
        <is>
          <t>Currently working through documentation. Diagrams and legends in progress.</t>
        </is>
      </c>
      <c r="N3" s="8" t="n">
        <v>46105</v>
      </c>
    </row>
    <row r="4">
      <c r="A4" t="inlineStr">
        <is>
          <t>T-003</t>
        </is>
      </c>
      <c r="B4" t="inlineStr">
        <is>
          <t>P-002</t>
        </is>
      </c>
      <c r="C4" t="inlineStr">
        <is>
          <t>Harness Shape &amp; Form Board</t>
        </is>
      </c>
      <c r="D4" t="inlineStr">
        <is>
          <t>Build the harness jig/form board and lay out primary wire routing paths.</t>
        </is>
      </c>
      <c r="E4" t="inlineStr"/>
      <c r="F4" t="inlineStr">
        <is>
          <t>UA</t>
        </is>
      </c>
      <c r="G4" t="inlineStr">
        <is>
          <t>Completed</t>
        </is>
      </c>
      <c r="H4" t="n">
        <v>1</v>
      </c>
      <c r="I4" s="8" t="n">
        <v>46037</v>
      </c>
      <c r="J4" s="8" t="n">
        <v>46081</v>
      </c>
      <c r="K4" s="8" t="n">
        <v>46081</v>
      </c>
      <c r="L4" t="inlineStr">
        <is>
          <t>Form board built. Harness shape established.</t>
        </is>
      </c>
      <c r="M4" s="8" t="n">
        <v>46081</v>
      </c>
    </row>
    <row r="5">
      <c r="A5" t="inlineStr">
        <is>
          <t>T-004</t>
        </is>
      </c>
      <c r="B5" t="inlineStr">
        <is>
          <t>P-002</t>
        </is>
      </c>
      <c r="C5" t="inlineStr">
        <is>
          <t>Shutdown Circuit (SDC) Installation</t>
        </is>
      </c>
      <c r="D5" t="inlineStr">
        <is>
          <t>Route, wire, and integrate the mandatory FSAE shutdown circuit into the harness.</t>
        </is>
      </c>
      <c r="E5" t="inlineStr"/>
      <c r="F5" t="inlineStr">
        <is>
          <t>UA</t>
        </is>
      </c>
      <c r="G5" t="inlineStr">
        <is>
          <t>Not Started</t>
        </is>
      </c>
      <c r="H5" t="n">
        <v>1</v>
      </c>
      <c r="I5" s="8" t="n">
        <v>46104</v>
      </c>
      <c r="K5" s="8" t="n">
        <v>46113</v>
      </c>
      <c r="L5" t="inlineStr"/>
      <c r="N5" s="8" t="n">
        <v>46105</v>
      </c>
    </row>
    <row r="6">
      <c r="A6" t="inlineStr">
        <is>
          <t>T-005</t>
        </is>
      </c>
      <c r="B6" t="inlineStr">
        <is>
          <t>P-002</t>
        </is>
      </c>
      <c r="C6" t="inlineStr">
        <is>
          <t>Pin &amp; Label All Wires</t>
        </is>
      </c>
      <c r="D6" t="inlineStr">
        <is>
          <t>Crimp pins/terminals on every wire end and apply identification labels.</t>
        </is>
      </c>
      <c r="E6" t="inlineStr"/>
      <c r="F6" t="inlineStr">
        <is>
          <t>UA</t>
        </is>
      </c>
      <c r="G6" t="inlineStr">
        <is>
          <t>Not Started</t>
        </is>
      </c>
      <c r="H6" t="n">
        <v>2</v>
      </c>
      <c r="I6" s="8" t="n">
        <v>46106</v>
      </c>
      <c r="K6" s="8" t="n">
        <v>46115</v>
      </c>
      <c r="L6" t="inlineStr"/>
      <c r="N6" s="8" t="n">
        <v>46107</v>
      </c>
    </row>
    <row r="7">
      <c r="A7" t="inlineStr">
        <is>
          <t>T-006</t>
        </is>
      </c>
      <c r="B7" t="inlineStr">
        <is>
          <t>P-002</t>
        </is>
      </c>
      <c r="C7" t="inlineStr">
        <is>
          <t>Connector Installation</t>
        </is>
      </c>
      <c r="D7" t="inlineStr">
        <is>
          <t>Insert pinned wires into all connectors and verify seating and retention.</t>
        </is>
      </c>
      <c r="E7" t="inlineStr"/>
      <c r="F7" t="inlineStr">
        <is>
          <t>UA</t>
        </is>
      </c>
      <c r="G7" t="inlineStr">
        <is>
          <t>Not Started</t>
        </is>
      </c>
      <c r="H7" t="n">
        <v>2</v>
      </c>
      <c r="I7" s="8" t="n">
        <v>46113</v>
      </c>
      <c r="K7" s="8" t="n">
        <v>46117</v>
      </c>
      <c r="L7" t="inlineStr"/>
      <c r="N7" s="8" t="n">
        <v>46109</v>
      </c>
    </row>
    <row r="8">
      <c r="A8" t="inlineStr">
        <is>
          <t>T-007</t>
        </is>
      </c>
      <c r="B8" t="inlineStr">
        <is>
          <t>P-002</t>
        </is>
      </c>
      <c r="C8" t="inlineStr">
        <is>
          <t>Taping, Sheathing &amp; Sealing</t>
        </is>
      </c>
      <c r="D8" t="inlineStr">
        <is>
          <t>Complete harness finish work — bundling, protection, and environmental sealing.</t>
        </is>
      </c>
      <c r="E8" t="inlineStr"/>
      <c r="F8" t="inlineStr">
        <is>
          <t>UA</t>
        </is>
      </c>
      <c r="G8" t="inlineStr">
        <is>
          <t>Not Started</t>
        </is>
      </c>
      <c r="H8" t="n">
        <v>2</v>
      </c>
      <c r="I8" s="8" t="n">
        <v>46117</v>
      </c>
      <c r="K8" s="8" t="n">
        <v>46122</v>
      </c>
      <c r="L8" t="inlineStr"/>
      <c r="N8" s="8" t="n">
        <v>46110</v>
      </c>
    </row>
    <row r="9">
      <c r="A9" t="inlineStr">
        <is>
          <t>T-008</t>
        </is>
      </c>
      <c r="B9" t="inlineStr">
        <is>
          <t>P-003</t>
        </is>
      </c>
      <c r="C9" t="inlineStr">
        <is>
          <t>Assembly Structure &amp; Part Numbers</t>
        </is>
      </c>
      <c r="D9" t="inlineStr">
        <is>
          <t>Define the assembly hierarchy and assign FSAE-compliant part numbers to every component.</t>
        </is>
      </c>
      <c r="E9" t="inlineStr"/>
      <c r="F9" t="inlineStr">
        <is>
          <t>UA</t>
        </is>
      </c>
      <c r="G9" t="inlineStr">
        <is>
          <t>Not Started</t>
        </is>
      </c>
      <c r="H9" t="n">
        <v>2</v>
      </c>
      <c r="I9" s="8" t="n">
        <v>46104</v>
      </c>
      <c r="K9" s="8" t="n">
        <v>46111</v>
      </c>
      <c r="L9" t="inlineStr"/>
      <c r="N9" s="8" t="n">
        <v>46106</v>
      </c>
    </row>
    <row r="10">
      <c r="A10" t="inlineStr">
        <is>
          <t>T-009</t>
        </is>
      </c>
      <c r="B10" t="inlineStr">
        <is>
          <t>P-003</t>
        </is>
      </c>
      <c r="C10" t="inlineStr">
        <is>
          <t>Parts Itemization</t>
        </is>
      </c>
      <c r="D10" t="inlineStr">
        <is>
          <t>Catalog every harness component with specifications, lengths, and quantities.</t>
        </is>
      </c>
      <c r="E10" t="inlineStr"/>
      <c r="F10" t="inlineStr">
        <is>
          <t>UA</t>
        </is>
      </c>
      <c r="G10" t="inlineStr">
        <is>
          <t>Not Started</t>
        </is>
      </c>
      <c r="H10" t="n">
        <v>2</v>
      </c>
      <c r="I10" s="8" t="n">
        <v>46109</v>
      </c>
      <c r="K10" s="8" t="n">
        <v>46117</v>
      </c>
      <c r="L10" t="inlineStr"/>
      <c r="N10" s="8" t="n">
        <v>46108</v>
      </c>
    </row>
    <row r="11">
      <c r="A11" t="inlineStr">
        <is>
          <t>T-010</t>
        </is>
      </c>
      <c r="B11" t="inlineStr">
        <is>
          <t>P-003</t>
        </is>
      </c>
      <c r="C11" t="inlineStr">
        <is>
          <t>Cost Report Compilation &amp; Submission</t>
        </is>
      </c>
      <c r="D11" t="inlineStr">
        <is>
          <t>Source pricing, calculate totals, format to FSAE template, and submit.</t>
        </is>
      </c>
      <c r="E11" t="inlineStr"/>
      <c r="F11" t="inlineStr">
        <is>
          <t>UA</t>
        </is>
      </c>
      <c r="G11" t="inlineStr">
        <is>
          <t>Not Started</t>
        </is>
      </c>
      <c r="H11" t="n">
        <v>1</v>
      </c>
      <c r="I11" s="8" t="n">
        <v>46115</v>
      </c>
      <c r="K11" s="8" t="n">
        <v>46122</v>
      </c>
      <c r="L11" t="inlineStr"/>
      <c r="N11" s="8" t="n">
        <v>46106</v>
      </c>
    </row>
    <row r="12">
      <c r="A12" t="inlineStr">
        <is>
          <t>T-011</t>
        </is>
      </c>
      <c r="B12" t="inlineStr">
        <is>
          <t>P-004</t>
        </is>
      </c>
      <c r="C12" t="inlineStr">
        <is>
          <t>Design Brief Content Development</t>
        </is>
      </c>
      <c r="D12" t="inlineStr">
        <is>
          <t>Research, outline, and draft all 6 slides for the harness design brief.</t>
        </is>
      </c>
      <c r="E12" t="inlineStr"/>
      <c r="F12" t="inlineStr">
        <is>
          <t>UA</t>
        </is>
      </c>
      <c r="G12" t="inlineStr">
        <is>
          <t>Not Started</t>
        </is>
      </c>
      <c r="H12" t="n">
        <v>2</v>
      </c>
      <c r="I12" s="8" t="n">
        <v>46123</v>
      </c>
      <c r="K12" s="8" t="n">
        <v>46149</v>
      </c>
      <c r="L12" t="inlineStr"/>
      <c r="N12" s="8" t="n">
        <v>46111</v>
      </c>
    </row>
    <row r="13">
      <c r="A13" t="inlineStr">
        <is>
          <t>T-012</t>
        </is>
      </c>
      <c r="B13" t="inlineStr">
        <is>
          <t>P-004</t>
        </is>
      </c>
      <c r="C13" t="inlineStr">
        <is>
          <t>Design Brief Review &amp; Submission</t>
        </is>
      </c>
      <c r="D13" t="inlineStr">
        <is>
          <t>Internal review, incorporate feedback, and submit the final design brief.</t>
        </is>
      </c>
      <c r="E13" t="inlineStr"/>
      <c r="F13" t="inlineStr">
        <is>
          <t>UA</t>
        </is>
      </c>
      <c r="G13" t="inlineStr">
        <is>
          <t>Not Started</t>
        </is>
      </c>
      <c r="H13" t="n">
        <v>3</v>
      </c>
      <c r="I13" s="8" t="n">
        <v>46149</v>
      </c>
      <c r="K13" s="8" t="n">
        <v>46159</v>
      </c>
      <c r="L13" t="inlineStr"/>
      <c r="N13" s="8" t="n">
        <v>46105</v>
      </c>
    </row>
    <row r="14">
      <c r="A14" t="inlineStr">
        <is>
          <t>T-013</t>
        </is>
      </c>
      <c r="B14" t="inlineStr">
        <is>
          <t>P-005</t>
        </is>
      </c>
      <c r="C14" t="inlineStr">
        <is>
          <t>Design Binder Compilation</t>
        </is>
      </c>
      <c r="D14" t="inlineStr">
        <is>
          <t>Gather, organize, and compile all harness documentation into a single binder.</t>
        </is>
      </c>
      <c r="E14" t="inlineStr"/>
      <c r="F14" t="inlineStr">
        <is>
          <t>UA</t>
        </is>
      </c>
      <c r="G14" t="inlineStr">
        <is>
          <t>Not Started</t>
        </is>
      </c>
      <c r="H14" t="n">
        <v>3</v>
      </c>
      <c r="I14" s="8" t="n">
        <v>46160</v>
      </c>
      <c r="K14" s="8" t="n">
        <v>46170</v>
      </c>
      <c r="L14" t="inlineStr"/>
      <c r="N14" s="8" t="n">
        <v>46106</v>
      </c>
    </row>
    <row r="15">
      <c r="A15" t="inlineStr">
        <is>
          <t>T-014</t>
        </is>
      </c>
      <c r="B15" t="inlineStr">
        <is>
          <t>P-005</t>
        </is>
      </c>
      <c r="C15" t="inlineStr">
        <is>
          <t>Final Binder Review &amp; Submission</t>
        </is>
      </c>
      <c r="D15" t="inlineStr">
        <is>
          <t>Review the compiled binder for completeness, format, and submit.</t>
        </is>
      </c>
      <c r="E15" t="inlineStr"/>
      <c r="F15" t="inlineStr">
        <is>
          <t>UA</t>
        </is>
      </c>
      <c r="G15" t="inlineStr">
        <is>
          <t>Not Started</t>
        </is>
      </c>
      <c r="H15" t="n">
        <v>3</v>
      </c>
      <c r="I15" s="8" t="n">
        <v>46170</v>
      </c>
      <c r="K15" s="8" t="n">
        <v>46174</v>
      </c>
      <c r="L15" t="inlineStr"/>
      <c r="N15" s="8" t="n">
        <v>46107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336BBF"/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style="6" min="1" max="1"/>
    <col width="12" customWidth="1" style="6" min="2" max="2"/>
    <col width="30" customWidth="1" style="6" min="3" max="3"/>
    <col width="40" customWidth="1" style="6" min="4" max="4"/>
    <col width="14" customWidth="1" style="6" min="5" max="8"/>
    <col width="12" customWidth="1" style="6" min="9" max="9"/>
  </cols>
  <sheetData>
    <row r="1">
      <c r="A1" s="1" t="inlineStr">
        <is>
          <t>Deliverable ID</t>
        </is>
      </c>
      <c r="B1" s="1" t="inlineStr">
        <is>
          <t>Task 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Deadline</t>
        </is>
      </c>
      <c r="I1" s="1" t="inlineStr">
        <is>
          <t>% Complete</t>
        </is>
      </c>
    </row>
    <row r="2">
      <c r="A2" t="inlineStr">
        <is>
          <t>D-001</t>
        </is>
      </c>
      <c r="B2" t="inlineStr">
        <is>
          <t>T-001</t>
        </is>
      </c>
      <c r="C2" t="inlineStr">
        <is>
          <t>Define all electrical circuits and loads</t>
        </is>
      </c>
      <c r="D2" t="inlineStr">
        <is>
          <t>Identify every circuit on the car: power, signal, sensor, actuator.</t>
        </is>
      </c>
      <c r="E2" t="inlineStr">
        <is>
          <t>Completed</t>
        </is>
      </c>
      <c r="F2" s="8" t="n">
        <v>45962</v>
      </c>
      <c r="G2" s="8" t="n">
        <v>45992</v>
      </c>
      <c r="H2" s="8" t="n">
        <v>45992</v>
      </c>
      <c r="I2" t="n">
        <v>100</v>
      </c>
    </row>
    <row r="3">
      <c r="A3" t="inlineStr">
        <is>
          <t>D-002</t>
        </is>
      </c>
      <c r="B3" t="inlineStr">
        <is>
          <t>T-001</t>
        </is>
      </c>
      <c r="C3" t="inlineStr">
        <is>
          <t>Create full electrical schematic</t>
        </is>
      </c>
      <c r="D3" t="inlineStr">
        <is>
          <t>Draw complete wiring schematic showing all connections, fuses, relays, and ECU pinouts.</t>
        </is>
      </c>
      <c r="E3" t="inlineStr">
        <is>
          <t>Completed</t>
        </is>
      </c>
      <c r="F3" s="8" t="n">
        <v>45992</v>
      </c>
      <c r="G3" s="8" t="n">
        <v>46011</v>
      </c>
      <c r="H3" s="8" t="n">
        <v>46011</v>
      </c>
      <c r="I3" t="n">
        <v>100</v>
      </c>
    </row>
    <row r="4">
      <c r="A4" t="inlineStr">
        <is>
          <t>D-003</t>
        </is>
      </c>
      <c r="B4" t="inlineStr">
        <is>
          <t>T-001</t>
        </is>
      </c>
      <c r="C4" t="inlineStr">
        <is>
          <t>Define wire gauges and types per circuit</t>
        </is>
      </c>
      <c r="D4" t="inlineStr">
        <is>
          <t>Select appropriate wire gauge, insulation type, and color for each circuit based on current draw.</t>
        </is>
      </c>
      <c r="E4" t="inlineStr">
        <is>
          <t>Completed</t>
        </is>
      </c>
      <c r="F4" s="8" t="n">
        <v>46006</v>
      </c>
      <c r="G4" s="8" t="n">
        <v>46032</v>
      </c>
      <c r="H4" s="8" t="n">
        <v>46032</v>
      </c>
      <c r="I4" t="n">
        <v>100</v>
      </c>
    </row>
    <row r="5">
      <c r="A5" t="inlineStr">
        <is>
          <t>D-004</t>
        </is>
      </c>
      <c r="B5" t="inlineStr">
        <is>
          <t>T-001</t>
        </is>
      </c>
      <c r="C5" t="inlineStr">
        <is>
          <t>Finalize harness routing layout</t>
        </is>
      </c>
      <c r="D5" t="inlineStr">
        <is>
          <t>Define physical routing paths on the chassis for every branch of the harness.</t>
        </is>
      </c>
      <c r="E5" t="inlineStr">
        <is>
          <t>Completed</t>
        </is>
      </c>
      <c r="F5" s="8" t="n">
        <v>46027</v>
      </c>
      <c r="G5" s="8" t="n">
        <v>46037</v>
      </c>
      <c r="H5" s="8" t="n">
        <v>46037</v>
      </c>
      <c r="I5" t="n">
        <v>100</v>
      </c>
    </row>
    <row r="6">
      <c r="A6" t="inlineStr">
        <is>
          <t>D-005</t>
        </is>
      </c>
      <c r="B6" t="inlineStr">
        <is>
          <t>T-002</t>
        </is>
      </c>
      <c r="C6" t="inlineStr">
        <is>
          <t>Complete circuit wiring diagrams</t>
        </is>
      </c>
      <c r="D6" t="inlineStr">
        <is>
          <t>Draw per-circuit wiring diagrams with pin assignments, wire colors, and routing notes.</t>
        </is>
      </c>
      <c r="E6" t="inlineStr">
        <is>
          <t>In Progress</t>
        </is>
      </c>
      <c r="F6" s="8" t="n">
        <v>45992</v>
      </c>
      <c r="H6" s="8" t="n">
        <v>46081</v>
      </c>
      <c r="I6" t="n">
        <v>70</v>
      </c>
    </row>
    <row r="7">
      <c r="A7" t="inlineStr">
        <is>
          <t>D-006</t>
        </is>
      </c>
      <c r="B7" t="inlineStr">
        <is>
          <t>T-002</t>
        </is>
      </c>
      <c r="C7" t="inlineStr">
        <is>
          <t>Create wire color code legend</t>
        </is>
      </c>
      <c r="D7" t="inlineStr">
        <is>
          <t>Document the color coding scheme for every wire function and circuit type.</t>
        </is>
      </c>
      <c r="E7" t="inlineStr">
        <is>
          <t>In Progress</t>
        </is>
      </c>
      <c r="F7" s="8" t="n">
        <v>46037</v>
      </c>
      <c r="H7" s="8" t="n">
        <v>46091</v>
      </c>
      <c r="I7" t="n">
        <v>50</v>
      </c>
    </row>
    <row r="8">
      <c r="A8" t="inlineStr">
        <is>
          <t>D-007</t>
        </is>
      </c>
      <c r="B8" t="inlineStr">
        <is>
          <t>T-002</t>
        </is>
      </c>
      <c r="C8" t="inlineStr">
        <is>
          <t>Document connector pinout tables</t>
        </is>
      </c>
      <c r="D8" t="inlineStr">
        <is>
          <t>Create pinout reference tables for every connector on the harness.</t>
        </is>
      </c>
      <c r="E8" t="inlineStr">
        <is>
          <t>In Progress</t>
        </is>
      </c>
      <c r="F8" s="8" t="n">
        <v>46054</v>
      </c>
      <c r="H8" s="8" t="n">
        <v>46101</v>
      </c>
      <c r="I8" t="n">
        <v>30</v>
      </c>
    </row>
    <row r="9">
      <c r="A9" t="inlineStr">
        <is>
          <t>D-008</t>
        </is>
      </c>
      <c r="B9" t="inlineStr">
        <is>
          <t>T-002</t>
        </is>
      </c>
      <c r="C9" t="inlineStr">
        <is>
          <t>Create harness assembly drawing</t>
        </is>
      </c>
      <c r="D9" t="inlineStr">
        <is>
          <t>Produce a dimensioned assembly drawing showing all branches, breakouts, and connector positions.</t>
        </is>
      </c>
      <c r="E9" t="inlineStr">
        <is>
          <t>In Progress</t>
        </is>
      </c>
      <c r="F9" s="8" t="n">
        <v>46068</v>
      </c>
      <c r="H9" s="8" t="n">
        <v>46111</v>
      </c>
      <c r="I9" t="n">
        <v>40</v>
      </c>
    </row>
    <row r="10">
      <c r="A10" t="inlineStr">
        <is>
          <t>D-009</t>
        </is>
      </c>
      <c r="B10" t="inlineStr">
        <is>
          <t>T-003</t>
        </is>
      </c>
      <c r="C10" t="inlineStr">
        <is>
          <t>Build harness jig / form board</t>
        </is>
      </c>
      <c r="D10" t="inlineStr">
        <is>
          <t>Construct the physical board with standoffs matching chassis routing.</t>
        </is>
      </c>
      <c r="E10" t="inlineStr">
        <is>
          <t>Completed</t>
        </is>
      </c>
      <c r="F10" s="8" t="n">
        <v>46037</v>
      </c>
      <c r="G10" s="8" t="n">
        <v>46068</v>
      </c>
      <c r="H10" s="8" t="n">
        <v>46068</v>
      </c>
      <c r="I10" t="n">
        <v>100</v>
      </c>
    </row>
    <row r="11">
      <c r="A11" t="inlineStr">
        <is>
          <t>D-010</t>
        </is>
      </c>
      <c r="B11" t="inlineStr">
        <is>
          <t>T-003</t>
        </is>
      </c>
      <c r="C11" t="inlineStr">
        <is>
          <t>Route primary wire paths on form board</t>
        </is>
      </c>
      <c r="D11" t="inlineStr">
        <is>
          <t>Lay wires along defined paths, establish branch points and breakouts.</t>
        </is>
      </c>
      <c r="E11" t="inlineStr">
        <is>
          <t>Completed</t>
        </is>
      </c>
      <c r="F11" s="8" t="n">
        <v>46063</v>
      </c>
      <c r="G11" s="8" t="n">
        <v>46081</v>
      </c>
      <c r="H11" s="8" t="n">
        <v>46081</v>
      </c>
      <c r="I11" t="n">
        <v>100</v>
      </c>
    </row>
    <row r="12">
      <c r="A12" t="inlineStr">
        <is>
          <t>D-011</t>
        </is>
      </c>
      <c r="B12" t="inlineStr">
        <is>
          <t>T-003</t>
        </is>
      </c>
      <c r="C12" t="inlineStr">
        <is>
          <t>Cut wires to length</t>
        </is>
      </c>
      <c r="D12" t="inlineStr">
        <is>
          <t>Measure and cut all wires with service-loop allowance per the routing layout.</t>
        </is>
      </c>
      <c r="E12" t="inlineStr">
        <is>
          <t>Completed</t>
        </is>
      </c>
      <c r="F12" s="8" t="n">
        <v>46073</v>
      </c>
      <c r="G12" s="8" t="n">
        <v>46081</v>
      </c>
      <c r="H12" s="8" t="n">
        <v>46081</v>
      </c>
      <c r="I12" t="n">
        <v>100</v>
      </c>
    </row>
    <row r="13">
      <c r="A13" t="inlineStr">
        <is>
          <t>D-012</t>
        </is>
      </c>
      <c r="B13" t="inlineStr">
        <is>
          <t>T-004</t>
        </is>
      </c>
      <c r="C13" t="inlineStr">
        <is>
          <t>Source and verify SDC components</t>
        </is>
      </c>
      <c r="D13" t="inlineStr">
        <is>
          <t>Confirm all SDC switches, relays, and interlocks are on hand and to spec.</t>
        </is>
      </c>
      <c r="E13" t="inlineStr">
        <is>
          <t>Not Started</t>
        </is>
      </c>
      <c r="F13" s="8" t="n">
        <v>46104</v>
      </c>
      <c r="H13" s="8" t="n">
        <v>46106</v>
      </c>
      <c r="I13" t="n">
        <v>0</v>
      </c>
    </row>
    <row r="14">
      <c r="A14" t="inlineStr">
        <is>
          <t>D-013</t>
        </is>
      </c>
      <c r="B14" t="inlineStr">
        <is>
          <t>T-004</t>
        </is>
      </c>
      <c r="C14" t="inlineStr">
        <is>
          <t>Route SDC wiring through harness</t>
        </is>
      </c>
      <c r="D14" t="inlineStr">
        <is>
          <t>Run SDC loop wiring along defined path, maintaining isolation from signal wires.</t>
        </is>
      </c>
      <c r="E14" t="inlineStr">
        <is>
          <t>Not Started</t>
        </is>
      </c>
      <c r="F14" s="8" t="n">
        <v>46106</v>
      </c>
      <c r="H14" s="8" t="n">
        <v>46109</v>
      </c>
      <c r="I14" t="n">
        <v>0</v>
      </c>
    </row>
    <row r="15">
      <c r="A15" t="inlineStr">
        <is>
          <t>D-014</t>
        </is>
      </c>
      <c r="B15" t="inlineStr">
        <is>
          <t>T-004</t>
        </is>
      </c>
      <c r="C15" t="inlineStr">
        <is>
          <t>Integrate SDC into harness and test loop continuity</t>
        </is>
      </c>
      <c r="D15" t="inlineStr">
        <is>
          <t>Connect SDC inline with harness, verify the full loop opens/closes correctly.</t>
        </is>
      </c>
      <c r="E15" t="inlineStr">
        <is>
          <t>Not Started</t>
        </is>
      </c>
      <c r="F15" s="8" t="n">
        <v>46109</v>
      </c>
      <c r="H15" s="8" t="n">
        <v>46113</v>
      </c>
      <c r="I15" t="n">
        <v>0</v>
      </c>
    </row>
    <row r="16">
      <c r="A16" t="inlineStr">
        <is>
          <t>D-015</t>
        </is>
      </c>
      <c r="B16" t="inlineStr">
        <is>
          <t>T-005</t>
        </is>
      </c>
      <c r="C16" t="inlineStr">
        <is>
          <t>Crimp pins and terminals on all wire ends</t>
        </is>
      </c>
      <c r="D16" t="inlineStr">
        <is>
          <t>Crimp correct pin/terminal for each connector type onto every wire.</t>
        </is>
      </c>
      <c r="E16" t="inlineStr">
        <is>
          <t>Not Started</t>
        </is>
      </c>
      <c r="F16" s="8" t="n">
        <v>46106</v>
      </c>
      <c r="H16" s="8" t="n">
        <v>46111</v>
      </c>
      <c r="I16" t="n">
        <v>0</v>
      </c>
    </row>
    <row r="17">
      <c r="A17" t="inlineStr">
        <is>
          <t>D-016</t>
        </is>
      </c>
      <c r="B17" t="inlineStr">
        <is>
          <t>T-005</t>
        </is>
      </c>
      <c r="C17" t="inlineStr">
        <is>
          <t>Apply wire labels and heat-shrink IDs</t>
        </is>
      </c>
      <c r="D17" t="inlineStr">
        <is>
          <t>Label every wire at both ends with circuit ID using printed heat-shrink or flag labels.</t>
        </is>
      </c>
      <c r="E17" t="inlineStr">
        <is>
          <t>Not Started</t>
        </is>
      </c>
      <c r="F17" s="8" t="n">
        <v>46109</v>
      </c>
      <c r="H17" s="8" t="n">
        <v>46113</v>
      </c>
      <c r="I17" t="n">
        <v>0</v>
      </c>
    </row>
    <row r="18">
      <c r="A18" t="inlineStr">
        <is>
          <t>D-017</t>
        </is>
      </c>
      <c r="B18" t="inlineStr">
        <is>
          <t>T-005</t>
        </is>
      </c>
      <c r="C18" t="inlineStr">
        <is>
          <t>Continuity check on all pinned wires</t>
        </is>
      </c>
      <c r="D18" t="inlineStr">
        <is>
          <t>Verify end-to-end continuity on every crimped and labeled wire.</t>
        </is>
      </c>
      <c r="E18" t="inlineStr">
        <is>
          <t>Not Started</t>
        </is>
      </c>
      <c r="F18" s="8" t="n">
        <v>46113</v>
      </c>
      <c r="H18" s="8" t="n">
        <v>46115</v>
      </c>
      <c r="I18" t="n">
        <v>0</v>
      </c>
    </row>
    <row r="19">
      <c r="A19" t="inlineStr">
        <is>
          <t>D-018</t>
        </is>
      </c>
      <c r="B19" t="inlineStr">
        <is>
          <t>T-006</t>
        </is>
      </c>
      <c r="C19" t="inlineStr">
        <is>
          <t>Install inline connectors</t>
        </is>
      </c>
      <c r="D19" t="inlineStr">
        <is>
          <t>Insert pins into inline connector housings per pinout tables.</t>
        </is>
      </c>
      <c r="E19" t="inlineStr">
        <is>
          <t>Not Started</t>
        </is>
      </c>
      <c r="F19" s="8" t="n">
        <v>46113</v>
      </c>
      <c r="H19" s="8" t="n">
        <v>46115</v>
      </c>
      <c r="I19" t="n">
        <v>0</v>
      </c>
    </row>
    <row r="20">
      <c r="A20" t="inlineStr">
        <is>
          <t>D-019</t>
        </is>
      </c>
      <c r="B20" t="inlineStr">
        <is>
          <t>T-006</t>
        </is>
      </c>
      <c r="C20" t="inlineStr">
        <is>
          <t>Install bulkhead and panel-mount connectors</t>
        </is>
      </c>
      <c r="D20" t="inlineStr">
        <is>
          <t>Populate and secure all panel-mount and bulkhead connectors.</t>
        </is>
      </c>
      <c r="E20" t="inlineStr">
        <is>
          <t>Not Started</t>
        </is>
      </c>
      <c r="F20" s="8" t="n">
        <v>46114</v>
      </c>
      <c r="H20" s="8" t="n">
        <v>46116</v>
      </c>
      <c r="I20" t="n">
        <v>0</v>
      </c>
    </row>
    <row r="21">
      <c r="A21" t="inlineStr">
        <is>
          <t>D-020</t>
        </is>
      </c>
      <c r="B21" t="inlineStr">
        <is>
          <t>T-006</t>
        </is>
      </c>
      <c r="C21" t="inlineStr">
        <is>
          <t>Verify connector seating and pin retention</t>
        </is>
      </c>
      <c r="D21" t="inlineStr">
        <is>
          <t>Tug-test every pin, confirm TPA clips engaged, and check for backed-out pins.</t>
        </is>
      </c>
      <c r="E21" t="inlineStr">
        <is>
          <t>Not Started</t>
        </is>
      </c>
      <c r="F21" s="8" t="n">
        <v>46116</v>
      </c>
      <c r="H21" s="8" t="n">
        <v>46117</v>
      </c>
      <c r="I21" t="n">
        <v>0</v>
      </c>
    </row>
    <row r="22">
      <c r="A22" t="inlineStr">
        <is>
          <t>D-021</t>
        </is>
      </c>
      <c r="B22" t="inlineStr">
        <is>
          <t>T-007</t>
        </is>
      </c>
      <c r="C22" t="inlineStr">
        <is>
          <t>Tape wire bundles at branch points</t>
        </is>
      </c>
      <c r="D22" t="inlineStr">
        <is>
          <t>Spot-tape and spiral-wrap all branch junctions to secure wire groupings.</t>
        </is>
      </c>
      <c r="E22" t="inlineStr">
        <is>
          <t>Not Started</t>
        </is>
      </c>
      <c r="F22" s="8" t="n">
        <v>46117</v>
      </c>
      <c r="H22" s="8" t="n">
        <v>46118</v>
      </c>
      <c r="I22" t="n">
        <v>0</v>
      </c>
    </row>
    <row r="23">
      <c r="A23" t="inlineStr">
        <is>
          <t>D-022</t>
        </is>
      </c>
      <c r="B23" t="inlineStr">
        <is>
          <t>T-007</t>
        </is>
      </c>
      <c r="C23" t="inlineStr">
        <is>
          <t>Apply protective sheathing and loom</t>
        </is>
      </c>
      <c r="D23" t="inlineStr">
        <is>
          <t>Slide braided loom or split conduit over all harness trunks and branches.</t>
        </is>
      </c>
      <c r="E23" t="inlineStr">
        <is>
          <t>Not Started</t>
        </is>
      </c>
      <c r="F23" s="8" t="n">
        <v>46118</v>
      </c>
      <c r="H23" s="8" t="n">
        <v>46119</v>
      </c>
      <c r="I23" t="n">
        <v>0</v>
      </c>
    </row>
    <row r="24">
      <c r="A24" t="inlineStr">
        <is>
          <t>D-023</t>
        </is>
      </c>
      <c r="B24" t="inlineStr">
        <is>
          <t>T-007</t>
        </is>
      </c>
      <c r="C24" t="inlineStr">
        <is>
          <t>Seal harness endpoints and grommets</t>
        </is>
      </c>
      <c r="D24" t="inlineStr">
        <is>
          <t>Apply heat-shrink boots, grommets, and sealant at all harness pass-throughs.</t>
        </is>
      </c>
      <c r="E24" t="inlineStr">
        <is>
          <t>Not Started</t>
        </is>
      </c>
      <c r="F24" s="8" t="n">
        <v>46119</v>
      </c>
      <c r="H24" s="8" t="n">
        <v>46121</v>
      </c>
      <c r="I24" t="n">
        <v>0</v>
      </c>
    </row>
    <row r="25">
      <c r="A25" t="inlineStr">
        <is>
          <t>D-024</t>
        </is>
      </c>
      <c r="B25" t="inlineStr">
        <is>
          <t>T-007</t>
        </is>
      </c>
      <c r="C25" t="inlineStr">
        <is>
          <t>Final harness QC inspection</t>
        </is>
      </c>
      <c r="D25" t="inlineStr">
        <is>
          <t>Full visual and electrical inspection — continuity, insulation resistance, label check.</t>
        </is>
      </c>
      <c r="E25" t="inlineStr">
        <is>
          <t>Not Started</t>
        </is>
      </c>
      <c r="F25" s="8" t="n">
        <v>46121</v>
      </c>
      <c r="H25" s="8" t="n">
        <v>46122</v>
      </c>
      <c r="I25" t="n">
        <v>0</v>
      </c>
    </row>
    <row r="26">
      <c r="A26" t="inlineStr">
        <is>
          <t>D-025</t>
        </is>
      </c>
      <c r="B26" t="inlineStr">
        <is>
          <t>T-008</t>
        </is>
      </c>
      <c r="C26" t="inlineStr">
        <is>
          <t>Define assembly hierarchy</t>
        </is>
      </c>
      <c r="D26" t="inlineStr">
        <is>
          <t>Break the harness into logical assemblies and sub-assemblies (e.g. front loom, rear loom, engine loom, SDC loop).</t>
        </is>
      </c>
      <c r="E26" t="inlineStr">
        <is>
          <t>Not Started</t>
        </is>
      </c>
      <c r="F26" s="8" t="n">
        <v>46104</v>
      </c>
      <c r="H26" s="8" t="n">
        <v>46106</v>
      </c>
      <c r="I26" t="n">
        <v>0</v>
      </c>
    </row>
    <row r="27">
      <c r="A27" t="inlineStr">
        <is>
          <t>D-026</t>
        </is>
      </c>
      <c r="B27" t="inlineStr">
        <is>
          <t>T-008</t>
        </is>
      </c>
      <c r="C27" t="inlineStr">
        <is>
          <t>Create part numbering scheme</t>
        </is>
      </c>
      <c r="D27" t="inlineStr">
        <is>
          <t>Establish a consistent part numbering convention that satisfies FSAE cost report rules.</t>
        </is>
      </c>
      <c r="E27" t="inlineStr">
        <is>
          <t>Not Started</t>
        </is>
      </c>
      <c r="F27" s="8" t="n">
        <v>46105</v>
      </c>
      <c r="H27" s="8" t="n">
        <v>46107</v>
      </c>
      <c r="I27" t="n">
        <v>0</v>
      </c>
    </row>
    <row r="28">
      <c r="A28" t="inlineStr">
        <is>
          <t>D-027</t>
        </is>
      </c>
      <c r="B28" t="inlineStr">
        <is>
          <t>T-008</t>
        </is>
      </c>
      <c r="C28" t="inlineStr">
        <is>
          <t>Assign part numbers to all components</t>
        </is>
      </c>
      <c r="D28" t="inlineStr">
        <is>
          <t>Apply part numbers to every wire, connector, terminal, relay, fuse, and consumable.</t>
        </is>
      </c>
      <c r="E28" t="inlineStr">
        <is>
          <t>Not Started</t>
        </is>
      </c>
      <c r="F28" s="8" t="n">
        <v>46107</v>
      </c>
      <c r="H28" s="8" t="n">
        <v>46111</v>
      </c>
      <c r="I28" t="n">
        <v>0</v>
      </c>
    </row>
    <row r="29">
      <c r="A29" t="inlineStr">
        <is>
          <t>D-028</t>
        </is>
      </c>
      <c r="B29" t="inlineStr">
        <is>
          <t>T-009</t>
        </is>
      </c>
      <c r="C29" t="inlineStr">
        <is>
          <t>Itemize all wires — gauge, color, length, quantity</t>
        </is>
      </c>
      <c r="D29" t="inlineStr">
        <is>
          <t>List every wire run with its gauge, insulation color, measured length, and quantity.</t>
        </is>
      </c>
      <c r="E29" t="inlineStr">
        <is>
          <t>Not Started</t>
        </is>
      </c>
      <c r="F29" s="8" t="n">
        <v>46109</v>
      </c>
      <c r="H29" s="8" t="n">
        <v>46113</v>
      </c>
      <c r="I29" t="n">
        <v>0</v>
      </c>
    </row>
    <row r="30">
      <c r="A30" t="inlineStr">
        <is>
          <t>D-029</t>
        </is>
      </c>
      <c r="B30" t="inlineStr">
        <is>
          <t>T-009</t>
        </is>
      </c>
      <c r="C30" t="inlineStr">
        <is>
          <t>Itemize connectors, pins, and terminals</t>
        </is>
      </c>
      <c r="D30" t="inlineStr">
        <is>
          <t>List every connector housing, pin, socket, seal, and TPA clip with quantity per connector.</t>
        </is>
      </c>
      <c r="E30" t="inlineStr">
        <is>
          <t>Not Started</t>
        </is>
      </c>
      <c r="F30" s="8" t="n">
        <v>46111</v>
      </c>
      <c r="H30" s="8" t="n">
        <v>46114</v>
      </c>
      <c r="I30" t="n">
        <v>0</v>
      </c>
    </row>
    <row r="31">
      <c r="A31" t="inlineStr">
        <is>
          <t>D-030</t>
        </is>
      </c>
      <c r="B31" t="inlineStr">
        <is>
          <t>T-009</t>
        </is>
      </c>
      <c r="C31" t="inlineStr">
        <is>
          <t>Itemize consumables — tape, sheathing, heat-shrink, seals</t>
        </is>
      </c>
      <c r="D31" t="inlineStr">
        <is>
          <t>Catalog all consumable materials used in harness finishing with lengths/quantities.</t>
        </is>
      </c>
      <c r="E31" t="inlineStr">
        <is>
          <t>Not Started</t>
        </is>
      </c>
      <c r="F31" s="8" t="n">
        <v>46113</v>
      </c>
      <c r="H31" s="8" t="n">
        <v>46115</v>
      </c>
      <c r="I31" t="n">
        <v>0</v>
      </c>
    </row>
    <row r="32">
      <c r="A32" t="inlineStr">
        <is>
          <t>D-031</t>
        </is>
      </c>
      <c r="B32" t="inlineStr">
        <is>
          <t>T-009</t>
        </is>
      </c>
      <c r="C32" t="inlineStr">
        <is>
          <t>Itemize relays, fuses, and miscellaneous electrical components</t>
        </is>
      </c>
      <c r="D32" t="inlineStr">
        <is>
          <t>List all relays, fuse holders, fuses, grounding hardware, and mounting brackets.</t>
        </is>
      </c>
      <c r="E32" t="inlineStr">
        <is>
          <t>Not Started</t>
        </is>
      </c>
      <c r="F32" s="8" t="n">
        <v>46115</v>
      </c>
      <c r="H32" s="8" t="n">
        <v>46117</v>
      </c>
      <c r="I32" t="n">
        <v>0</v>
      </c>
    </row>
    <row r="33">
      <c r="A33" t="inlineStr">
        <is>
          <t>D-032</t>
        </is>
      </c>
      <c r="B33" t="inlineStr">
        <is>
          <t>T-010</t>
        </is>
      </c>
      <c r="C33" t="inlineStr">
        <is>
          <t>Source pricing for all line items</t>
        </is>
      </c>
      <c r="D33" t="inlineStr">
        <is>
          <t>Obtain unit pricing from suppliers or FSAE standard cost tables for every part.</t>
        </is>
      </c>
      <c r="E33" t="inlineStr">
        <is>
          <t>Not Started</t>
        </is>
      </c>
      <c r="F33" s="8" t="n">
        <v>46115</v>
      </c>
      <c r="H33" s="8" t="n">
        <v>46118</v>
      </c>
      <c r="I33" t="n">
        <v>0</v>
      </c>
    </row>
    <row r="34">
      <c r="A34" t="inlineStr">
        <is>
          <t>D-033</t>
        </is>
      </c>
      <c r="B34" t="inlineStr">
        <is>
          <t>T-010</t>
        </is>
      </c>
      <c r="C34" t="inlineStr">
        <is>
          <t>Calculate total BOM cost by assembly</t>
        </is>
      </c>
      <c r="D34" t="inlineStr">
        <is>
          <t>Sum extended costs per assembly and compute harness total.</t>
        </is>
      </c>
      <c r="E34" t="inlineStr">
        <is>
          <t>Not Started</t>
        </is>
      </c>
      <c r="F34" s="8" t="n">
        <v>46118</v>
      </c>
      <c r="H34" s="8" t="n">
        <v>46120</v>
      </c>
      <c r="I34" t="n">
        <v>0</v>
      </c>
    </row>
    <row r="35">
      <c r="A35" t="inlineStr">
        <is>
          <t>D-034</t>
        </is>
      </c>
      <c r="B35" t="inlineStr">
        <is>
          <t>T-010</t>
        </is>
      </c>
      <c r="C35" t="inlineStr">
        <is>
          <t>Format cost report per FSAE template</t>
        </is>
      </c>
      <c r="D35" t="inlineStr">
        <is>
          <t>Enter all data into the official FSAE cost report spreadsheet template.</t>
        </is>
      </c>
      <c r="E35" t="inlineStr">
        <is>
          <t>Not Started</t>
        </is>
      </c>
      <c r="F35" s="8" t="n">
        <v>46119</v>
      </c>
      <c r="H35" s="8" t="n">
        <v>46121</v>
      </c>
      <c r="I35" t="n">
        <v>0</v>
      </c>
    </row>
    <row r="36">
      <c r="A36" t="inlineStr">
        <is>
          <t>D-035</t>
        </is>
      </c>
      <c r="B36" t="inlineStr">
        <is>
          <t>T-010</t>
        </is>
      </c>
      <c r="C36" t="inlineStr">
        <is>
          <t>Review and submit cost report</t>
        </is>
      </c>
      <c r="D36" t="inlineStr">
        <is>
          <t>Final cross-check against BOM, resolve discrepancies, and submit.</t>
        </is>
      </c>
      <c r="E36" t="inlineStr">
        <is>
          <t>Not Started</t>
        </is>
      </c>
      <c r="F36" s="8" t="n">
        <v>46121</v>
      </c>
      <c r="H36" s="8" t="n">
        <v>46122</v>
      </c>
      <c r="I36" t="n">
        <v>0</v>
      </c>
    </row>
    <row r="37">
      <c r="A37" t="inlineStr">
        <is>
          <t>D-036</t>
        </is>
      </c>
      <c r="B37" t="inlineStr">
        <is>
          <t>T-011</t>
        </is>
      </c>
      <c r="C37" t="inlineStr">
        <is>
          <t>Outline slide content and presentation structure</t>
        </is>
      </c>
      <c r="D37" t="inlineStr">
        <is>
          <t>Define the narrative flow and key talking points for all 6 slides.</t>
        </is>
      </c>
      <c r="E37" t="inlineStr">
        <is>
          <t>Not Started</t>
        </is>
      </c>
      <c r="F37" s="8" t="n">
        <v>46123</v>
      </c>
      <c r="H37" s="8" t="n">
        <v>46126</v>
      </c>
      <c r="I37" t="n">
        <v>0</v>
      </c>
    </row>
    <row r="38">
      <c r="A38" t="inlineStr">
        <is>
          <t>D-037</t>
        </is>
      </c>
      <c r="B38" t="inlineStr">
        <is>
          <t>T-011</t>
        </is>
      </c>
      <c r="C38" t="inlineStr">
        <is>
          <t>Slide 1 — Design requirements and constraints</t>
        </is>
      </c>
      <c r="D38" t="inlineStr">
        <is>
          <t>Cover FSAE rules, vehicle electrical requirements, weight/packaging constraints.</t>
        </is>
      </c>
      <c r="E38" t="inlineStr">
        <is>
          <t>Not Started</t>
        </is>
      </c>
      <c r="F38" s="8" t="n">
        <v>46126</v>
      </c>
      <c r="H38" s="8" t="n">
        <v>46130</v>
      </c>
      <c r="I38" t="n">
        <v>0</v>
      </c>
    </row>
    <row r="39">
      <c r="A39" t="inlineStr">
        <is>
          <t>D-038</t>
        </is>
      </c>
      <c r="B39" t="inlineStr">
        <is>
          <t>T-011</t>
        </is>
      </c>
      <c r="C39" t="inlineStr">
        <is>
          <t>Slide 2 — Harness architecture and topology</t>
        </is>
      </c>
      <c r="D39" t="inlineStr">
        <is>
          <t>Present the overall harness topology: star vs. bus, branch strategy, node locations.</t>
        </is>
      </c>
      <c r="E39" t="inlineStr">
        <is>
          <t>Not Started</t>
        </is>
      </c>
      <c r="F39" s="8" t="n">
        <v>46130</v>
      </c>
      <c r="H39" s="8" t="n">
        <v>46134</v>
      </c>
      <c r="I39" t="n">
        <v>0</v>
      </c>
    </row>
    <row r="40">
      <c r="A40" t="inlineStr">
        <is>
          <t>D-039</t>
        </is>
      </c>
      <c r="B40" t="inlineStr">
        <is>
          <t>T-011</t>
        </is>
      </c>
      <c r="C40" t="inlineStr">
        <is>
          <t>Slide 3 — Wire gauge and connector selection rationale</t>
        </is>
      </c>
      <c r="D40" t="inlineStr">
        <is>
          <t>Justify gauge sizing, connector family choices, and contact ratings.</t>
        </is>
      </c>
      <c r="E40" t="inlineStr">
        <is>
          <t>Not Started</t>
        </is>
      </c>
      <c r="F40" s="8" t="n">
        <v>46134</v>
      </c>
      <c r="H40" s="8" t="n">
        <v>46138</v>
      </c>
      <c r="I40" t="n">
        <v>0</v>
      </c>
    </row>
    <row r="41">
      <c r="A41" t="inlineStr">
        <is>
          <t>D-040</t>
        </is>
      </c>
      <c r="B41" t="inlineStr">
        <is>
          <t>T-011</t>
        </is>
      </c>
      <c r="C41" t="inlineStr">
        <is>
          <t>Slide 4 — Routing, packaging, and weight optimization</t>
        </is>
      </c>
      <c r="D41" t="inlineStr">
        <is>
          <t>Explain physical routing decisions, weight trade-offs, and serviceability considerations.</t>
        </is>
      </c>
      <c r="E41" t="inlineStr">
        <is>
          <t>Not Started</t>
        </is>
      </c>
      <c r="F41" s="8" t="n">
        <v>46138</v>
      </c>
      <c r="H41" s="8" t="n">
        <v>46142</v>
      </c>
      <c r="I41" t="n">
        <v>0</v>
      </c>
    </row>
    <row r="42">
      <c r="A42" t="inlineStr">
        <is>
          <t>D-041</t>
        </is>
      </c>
      <c r="B42" t="inlineStr">
        <is>
          <t>T-011</t>
        </is>
      </c>
      <c r="C42" t="inlineStr">
        <is>
          <t>Slide 5 — Safety systems and SDC integration</t>
        </is>
      </c>
      <c r="D42" t="inlineStr">
        <is>
          <t>Detail SDC loop design, fail-safe philosophy, and rules compliance.</t>
        </is>
      </c>
      <c r="E42" t="inlineStr">
        <is>
          <t>Not Started</t>
        </is>
      </c>
      <c r="F42" s="8" t="n">
        <v>46142</v>
      </c>
      <c r="H42" s="8" t="n">
        <v>46145</v>
      </c>
      <c r="I42" t="n">
        <v>0</v>
      </c>
    </row>
    <row r="43">
      <c r="A43" t="inlineStr">
        <is>
          <t>D-042</t>
        </is>
      </c>
      <c r="B43" t="inlineStr">
        <is>
          <t>T-011</t>
        </is>
      </c>
      <c r="C43" t="inlineStr">
        <is>
          <t>Slide 6 — Validation, testing, and lessons learned</t>
        </is>
      </c>
      <c r="D43" t="inlineStr">
        <is>
          <t>Summarize test plan, validation results, and design iteration takeaways.</t>
        </is>
      </c>
      <c r="E43" t="inlineStr">
        <is>
          <t>Not Started</t>
        </is>
      </c>
      <c r="F43" s="8" t="n">
        <v>46145</v>
      </c>
      <c r="H43" s="8" t="n">
        <v>46149</v>
      </c>
      <c r="I43" t="n">
        <v>0</v>
      </c>
    </row>
    <row r="44">
      <c r="A44" t="inlineStr">
        <is>
          <t>D-043</t>
        </is>
      </c>
      <c r="B44" t="inlineStr">
        <is>
          <t>T-012</t>
        </is>
      </c>
      <c r="C44" t="inlineStr">
        <is>
          <t>Internal team review of design brief</t>
        </is>
      </c>
      <c r="D44" t="inlineStr">
        <is>
          <t>Circulate draft to team leads for feedback.</t>
        </is>
      </c>
      <c r="E44" t="inlineStr">
        <is>
          <t>Not Started</t>
        </is>
      </c>
      <c r="F44" s="8" t="n">
        <v>46149</v>
      </c>
      <c r="H44" s="8" t="n">
        <v>46152</v>
      </c>
      <c r="I44" t="n">
        <v>0</v>
      </c>
    </row>
    <row r="45">
      <c r="A45" t="inlineStr">
        <is>
          <t>D-044</t>
        </is>
      </c>
      <c r="B45" t="inlineStr">
        <is>
          <t>T-012</t>
        </is>
      </c>
      <c r="C45" t="inlineStr">
        <is>
          <t>Incorporate feedback and finalize slides</t>
        </is>
      </c>
      <c r="D45" t="inlineStr">
        <is>
          <t>Revise content and visuals based on review comments.</t>
        </is>
      </c>
      <c r="E45" t="inlineStr">
        <is>
          <t>Not Started</t>
        </is>
      </c>
      <c r="F45" s="8" t="n">
        <v>46152</v>
      </c>
      <c r="H45" s="8" t="n">
        <v>46156</v>
      </c>
      <c r="I45" t="n">
        <v>0</v>
      </c>
    </row>
    <row r="46">
      <c r="A46" t="inlineStr">
        <is>
          <t>D-045</t>
        </is>
      </c>
      <c r="B46" t="inlineStr">
        <is>
          <t>T-012</t>
        </is>
      </c>
      <c r="C46" t="inlineStr">
        <is>
          <t>Submit design brief</t>
        </is>
      </c>
      <c r="D46" t="inlineStr">
        <is>
          <t>Final export and submission of the 6-slide design brief.</t>
        </is>
      </c>
      <c r="E46" t="inlineStr">
        <is>
          <t>Not Started</t>
        </is>
      </c>
      <c r="F46" s="8" t="n">
        <v>46156</v>
      </c>
      <c r="H46" s="8" t="n">
        <v>46159</v>
      </c>
      <c r="I46" t="n">
        <v>0</v>
      </c>
    </row>
    <row r="47">
      <c r="A47" t="inlineStr">
        <is>
          <t>D-046</t>
        </is>
      </c>
      <c r="B47" t="inlineStr">
        <is>
          <t>T-013</t>
        </is>
      </c>
      <c r="C47" t="inlineStr">
        <is>
          <t>Compile all wiring schematics and diagrams</t>
        </is>
      </c>
      <c r="D47" t="inlineStr">
        <is>
          <t>Collect final versions of all schematics and wiring diagrams into the binder.</t>
        </is>
      </c>
      <c r="E47" t="inlineStr">
        <is>
          <t>Not Started</t>
        </is>
      </c>
      <c r="F47" s="8" t="n">
        <v>46160</v>
      </c>
      <c r="H47" s="8" t="n">
        <v>46162</v>
      </c>
      <c r="I47" t="n">
        <v>0</v>
      </c>
    </row>
    <row r="48">
      <c r="A48" t="inlineStr">
        <is>
          <t>D-047</t>
        </is>
      </c>
      <c r="B48" t="inlineStr">
        <is>
          <t>T-013</t>
        </is>
      </c>
      <c r="C48" t="inlineStr">
        <is>
          <t>Include wire legends and connector pinout documentation</t>
        </is>
      </c>
      <c r="D48" t="inlineStr">
        <is>
          <t>Insert color code legend, pinout tables, and wire schedule.</t>
        </is>
      </c>
      <c r="E48" t="inlineStr">
        <is>
          <t>Not Started</t>
        </is>
      </c>
      <c r="F48" s="8" t="n">
        <v>46161</v>
      </c>
      <c r="H48" s="8" t="n">
        <v>46163</v>
      </c>
      <c r="I48" t="n">
        <v>0</v>
      </c>
    </row>
    <row r="49">
      <c r="A49" t="inlineStr">
        <is>
          <t>D-048</t>
        </is>
      </c>
      <c r="B49" t="inlineStr">
        <is>
          <t>T-013</t>
        </is>
      </c>
      <c r="C49" t="inlineStr">
        <is>
          <t>Insert cost report</t>
        </is>
      </c>
      <c r="D49" t="inlineStr">
        <is>
          <t>Add the completed harness cost report section.</t>
        </is>
      </c>
      <c r="E49" t="inlineStr">
        <is>
          <t>Not Started</t>
        </is>
      </c>
      <c r="F49" s="8" t="n">
        <v>46162</v>
      </c>
      <c r="H49" s="8" t="n">
        <v>46164</v>
      </c>
      <c r="I49" t="n">
        <v>0</v>
      </c>
    </row>
    <row r="50">
      <c r="A50" t="inlineStr">
        <is>
          <t>D-049</t>
        </is>
      </c>
      <c r="B50" t="inlineStr">
        <is>
          <t>T-013</t>
        </is>
      </c>
      <c r="C50" t="inlineStr">
        <is>
          <t>Insert design brief</t>
        </is>
      </c>
      <c r="D50" t="inlineStr">
        <is>
          <t>Add the 6-slide design brief or its expanded narrative form.</t>
        </is>
      </c>
      <c r="E50" t="inlineStr">
        <is>
          <t>Not Started</t>
        </is>
      </c>
      <c r="F50" s="8" t="n">
        <v>46163</v>
      </c>
      <c r="H50" s="8" t="n">
        <v>46165</v>
      </c>
      <c r="I50" t="n">
        <v>0</v>
      </c>
    </row>
    <row r="51">
      <c r="A51" t="inlineStr">
        <is>
          <t>D-050</t>
        </is>
      </c>
      <c r="B51" t="inlineStr">
        <is>
          <t>T-013</t>
        </is>
      </c>
      <c r="C51" t="inlineStr">
        <is>
          <t>Add construction photos and process notes</t>
        </is>
      </c>
      <c r="D51" t="inlineStr">
        <is>
          <t>Document the build process with photos, notes on techniques, and assembly order.</t>
        </is>
      </c>
      <c r="E51" t="inlineStr">
        <is>
          <t>Not Started</t>
        </is>
      </c>
      <c r="F51" s="8" t="n">
        <v>46164</v>
      </c>
      <c r="H51" s="8" t="n">
        <v>46167</v>
      </c>
      <c r="I51" t="n">
        <v>0</v>
      </c>
    </row>
    <row r="52">
      <c r="A52" t="inlineStr">
        <is>
          <t>D-051</t>
        </is>
      </c>
      <c r="B52" t="inlineStr">
        <is>
          <t>T-013</t>
        </is>
      </c>
      <c r="C52" t="inlineStr">
        <is>
          <t>Compile test and validation records</t>
        </is>
      </c>
      <c r="D52" t="inlineStr">
        <is>
          <t>Include continuity test logs, insulation resistance results, and any inspection checklists.</t>
        </is>
      </c>
      <c r="E52" t="inlineStr">
        <is>
          <t>Not Started</t>
        </is>
      </c>
      <c r="F52" s="8" t="n">
        <v>46167</v>
      </c>
      <c r="H52" s="8" t="n">
        <v>46170</v>
      </c>
      <c r="I52" t="n">
        <v>0</v>
      </c>
    </row>
    <row r="53">
      <c r="A53" t="inlineStr">
        <is>
          <t>D-052</t>
        </is>
      </c>
      <c r="B53" t="inlineStr">
        <is>
          <t>T-014</t>
        </is>
      </c>
      <c r="C53" t="inlineStr">
        <is>
          <t>Review binder for completeness and consistency</t>
        </is>
      </c>
      <c r="D53" t="inlineStr">
        <is>
          <t>Cross-check all sections against a checklist; ensure no missing documents.</t>
        </is>
      </c>
      <c r="E53" t="inlineStr">
        <is>
          <t>Not Started</t>
        </is>
      </c>
      <c r="F53" s="8" t="n">
        <v>46170</v>
      </c>
      <c r="H53" s="8" t="n">
        <v>46172</v>
      </c>
      <c r="I53" t="n">
        <v>0</v>
      </c>
    </row>
    <row r="54">
      <c r="A54" t="inlineStr">
        <is>
          <t>D-053</t>
        </is>
      </c>
      <c r="B54" t="inlineStr">
        <is>
          <t>T-014</t>
        </is>
      </c>
      <c r="C54" t="inlineStr">
        <is>
          <t>Format, bind, and print final document</t>
        </is>
      </c>
      <c r="D54" t="inlineStr">
        <is>
          <t>Final formatting pass, print, and physically bind the design binder.</t>
        </is>
      </c>
      <c r="E54" t="inlineStr">
        <is>
          <t>Not Started</t>
        </is>
      </c>
      <c r="F54" s="8" t="n">
        <v>46171</v>
      </c>
      <c r="H54" s="8" t="n">
        <v>46173</v>
      </c>
      <c r="I54" t="n">
        <v>0</v>
      </c>
    </row>
    <row r="55">
      <c r="A55" t="inlineStr">
        <is>
          <t>D-054</t>
        </is>
      </c>
      <c r="B55" t="inlineStr">
        <is>
          <t>T-014</t>
        </is>
      </c>
      <c r="C55" t="inlineStr">
        <is>
          <t>Submit design binder</t>
        </is>
      </c>
      <c r="D55" t="inlineStr">
        <is>
          <t>Deliver the completed design binder.</t>
        </is>
      </c>
      <c r="E55" t="inlineStr">
        <is>
          <t>Not Started</t>
        </is>
      </c>
      <c r="F55" s="8" t="n">
        <v>46173</v>
      </c>
      <c r="H55" s="8" t="n">
        <v>46174</v>
      </c>
      <c r="I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3CDE3"/>
    <outlinePr summaryBelow="1" summaryRight="1"/>
    <pageSetUpPr/>
  </sheetPr>
  <dimension ref="A1:N74"/>
  <sheetViews>
    <sheetView topLeftCell="D1" zoomScale="145" zoomScaleNormal="145" workbookViewId="0">
      <pane ySplit="1" topLeftCell="A2" activePane="bottomLeft" state="frozen"/>
      <selection pane="bottomLeft" activeCell="G2" sqref="G2:G74"/>
    </sheetView>
  </sheetViews>
  <sheetFormatPr baseColWidth="8" defaultRowHeight="14.5"/>
  <cols>
    <col width="14" customWidth="1" style="6" min="1" max="2"/>
    <col width="30" customWidth="1" style="6" min="3" max="3"/>
    <col width="14" customWidth="1" style="6" min="4" max="9"/>
    <col width="12" customWidth="1" style="6" min="10" max="10"/>
    <col width="30" customWidth="1" style="6" min="11" max="11"/>
  </cols>
  <sheetData>
    <row r="1" ht="29" customHeight="1" s="6">
      <c r="A1" s="1" t="inlineStr">
        <is>
          <t>Item ID</t>
        </is>
      </c>
      <c r="B1" s="1" t="inlineStr">
        <is>
          <t>Item Type</t>
        </is>
      </c>
      <c r="C1" s="1" t="inlineStr">
        <is>
          <t>Title</t>
        </is>
      </c>
      <c r="D1" s="1" t="inlineStr">
        <is>
          <t>Parent ID</t>
        </is>
      </c>
      <c r="E1" s="1" t="inlineStr">
        <is>
          <t>Start Date</t>
        </is>
      </c>
      <c r="F1" s="1" t="inlineStr">
        <is>
          <t>Duration (days)</t>
        </is>
      </c>
      <c r="G1" s="1" t="inlineStr">
        <is>
          <t>End Date</t>
        </is>
      </c>
      <c r="H1" s="1" t="inlineStr">
        <is>
          <t>Deadline</t>
        </is>
      </c>
      <c r="I1" s="1" t="inlineStr">
        <is>
          <t>Status</t>
        </is>
      </c>
      <c r="J1" s="1" t="inlineStr">
        <is>
          <t>% Complete</t>
        </is>
      </c>
      <c r="K1" s="1" t="inlineStr">
        <is>
          <t>Time Allocated</t>
        </is>
      </c>
      <c r="L1" t="inlineStr">
        <is>
          <t>Time Spent</t>
        </is>
      </c>
      <c r="M1" t="inlineStr">
        <is>
          <t>Scheduled Date</t>
        </is>
      </c>
      <c r="N1" t="inlineStr">
        <is>
          <t>Milestones</t>
        </is>
      </c>
    </row>
    <row r="2">
      <c r="A2" t="inlineStr">
        <is>
          <t>P-001</t>
        </is>
      </c>
      <c r="B2" t="inlineStr">
        <is>
          <t>Project</t>
        </is>
      </c>
      <c r="C2">
        <f>IFERROR(VLOOKUP($A2,'Projects'!$A:$M,2,FALSE),"")</f>
        <v/>
      </c>
      <c r="D2" t="inlineStr"/>
      <c r="E2">
        <f>IFERROR(VLOOKUP($A2,'Projects'!$A:$M,9,FALSE),"")</f>
        <v/>
      </c>
      <c r="F2">
        <f>IFERROR(IF(F2="","",G2-F2),"")</f>
        <v/>
      </c>
      <c r="G2">
        <f>IFERROR(VLOOKUP($A2,'Projects'!$A:$M,10,FALSE),"")</f>
        <v/>
      </c>
      <c r="H2">
        <f>IFERROR(VLOOKUP($A2,'Projects'!$A:$M,11,FALSE),"")</f>
        <v/>
      </c>
      <c r="I2">
        <f>IFERROR(VLOOKUP($A2,'Projects'!$A:$M,7,FALSE),"")</f>
        <v/>
      </c>
      <c r="J2" t="inlineStr"/>
      <c r="K2" t="inlineStr"/>
      <c r="L2" t="inlineStr"/>
      <c r="M2" t="inlineStr"/>
      <c r="N2" t="inlineStr"/>
    </row>
    <row r="3">
      <c r="A3" t="inlineStr">
        <is>
          <t>P-002</t>
        </is>
      </c>
      <c r="B3" t="inlineStr">
        <is>
          <t>Project</t>
        </is>
      </c>
      <c r="C3">
        <f>IFERROR(VLOOKUP($A3,'Projects'!$A:$M,2,FALSE),"")</f>
        <v/>
      </c>
      <c r="D3" t="inlineStr"/>
      <c r="E3">
        <f>IFERROR(VLOOKUP($A3,'Projects'!$A:$M,9,FALSE),"")</f>
        <v/>
      </c>
      <c r="F3">
        <f>IFERROR(IF(F3="","",G3-F3),"")</f>
        <v/>
      </c>
      <c r="G3">
        <f>IFERROR(VLOOKUP($A3,'Projects'!$A:$M,10,FALSE),"")</f>
        <v/>
      </c>
      <c r="H3">
        <f>IFERROR(VLOOKUP($A3,'Projects'!$A:$M,11,FALSE),"")</f>
        <v/>
      </c>
      <c r="I3">
        <f>IFERROR(VLOOKUP($A3,'Projects'!$A:$M,7,FALSE),"")</f>
        <v/>
      </c>
      <c r="J3" t="inlineStr"/>
      <c r="K3" t="inlineStr"/>
      <c r="L3" t="inlineStr"/>
      <c r="M3" t="inlineStr"/>
      <c r="N3" t="inlineStr"/>
    </row>
    <row r="4">
      <c r="A4" t="inlineStr">
        <is>
          <t>P-003</t>
        </is>
      </c>
      <c r="B4" t="inlineStr">
        <is>
          <t>Project</t>
        </is>
      </c>
      <c r="C4">
        <f>IFERROR(VLOOKUP($A4,'Projects'!$A:$M,2,FALSE),"")</f>
        <v/>
      </c>
      <c r="D4" t="inlineStr"/>
      <c r="E4">
        <f>IFERROR(VLOOKUP($A4,'Projects'!$A:$M,9,FALSE),"")</f>
        <v/>
      </c>
      <c r="F4">
        <f>IFERROR(IF(F4="","",G4-F4),"")</f>
        <v/>
      </c>
      <c r="G4">
        <f>IFERROR(VLOOKUP($A4,'Projects'!$A:$M,10,FALSE),"")</f>
        <v/>
      </c>
      <c r="H4">
        <f>IFERROR(VLOOKUP($A4,'Projects'!$A:$M,11,FALSE),"")</f>
        <v/>
      </c>
      <c r="I4">
        <f>IFERROR(VLOOKUP($A4,'Projects'!$A:$M,7,FALSE),"")</f>
        <v/>
      </c>
      <c r="J4" t="inlineStr"/>
      <c r="K4" t="inlineStr"/>
      <c r="L4" t="inlineStr"/>
      <c r="M4" t="inlineStr"/>
      <c r="N4" t="inlineStr"/>
    </row>
    <row r="5">
      <c r="A5" t="inlineStr">
        <is>
          <t>P-004</t>
        </is>
      </c>
      <c r="B5" t="inlineStr">
        <is>
          <t>Project</t>
        </is>
      </c>
      <c r="C5">
        <f>IFERROR(VLOOKUP($A5,'Projects'!$A:$M,2,FALSE),"")</f>
        <v/>
      </c>
      <c r="D5" t="inlineStr"/>
      <c r="E5">
        <f>IFERROR(VLOOKUP($A5,'Projects'!$A:$M,9,FALSE),"")</f>
        <v/>
      </c>
      <c r="F5">
        <f>IFERROR(IF(F5="","",G5-F5),"")</f>
        <v/>
      </c>
      <c r="G5">
        <f>IFERROR(VLOOKUP($A5,'Projects'!$A:$M,10,FALSE),"")</f>
        <v/>
      </c>
      <c r="H5">
        <f>IFERROR(VLOOKUP($A5,'Projects'!$A:$M,11,FALSE),"")</f>
        <v/>
      </c>
      <c r="I5">
        <f>IFERROR(VLOOKUP($A5,'Projects'!$A:$M,7,FALSE),"")</f>
        <v/>
      </c>
      <c r="J5" t="inlineStr"/>
      <c r="K5" t="inlineStr"/>
      <c r="L5" t="inlineStr"/>
      <c r="M5" t="inlineStr"/>
      <c r="N5" t="inlineStr"/>
    </row>
    <row r="6">
      <c r="A6" t="inlineStr">
        <is>
          <t>P-005</t>
        </is>
      </c>
      <c r="B6" t="inlineStr">
        <is>
          <t>Project</t>
        </is>
      </c>
      <c r="C6">
        <f>IFERROR(VLOOKUP($A6,'Projects'!$A:$M,2,FALSE),"")</f>
        <v/>
      </c>
      <c r="D6" t="inlineStr"/>
      <c r="E6">
        <f>IFERROR(VLOOKUP($A6,'Projects'!$A:$M,9,FALSE),"")</f>
        <v/>
      </c>
      <c r="F6">
        <f>IFERROR(IF(F6="","",G6-F6),"")</f>
        <v/>
      </c>
      <c r="G6">
        <f>IFERROR(VLOOKUP($A6,'Projects'!$A:$M,10,FALSE),"")</f>
        <v/>
      </c>
      <c r="H6">
        <f>IFERROR(VLOOKUP($A6,'Projects'!$A:$M,11,FALSE),"")</f>
        <v/>
      </c>
      <c r="I6">
        <f>IFERROR(VLOOKUP($A6,'Projects'!$A:$M,7,FALSE),"")</f>
        <v/>
      </c>
      <c r="J6" t="inlineStr"/>
      <c r="K6" t="inlineStr"/>
      <c r="L6" t="inlineStr"/>
      <c r="M6" t="inlineStr"/>
      <c r="N6" t="inlineStr"/>
    </row>
    <row r="7">
      <c r="A7" t="inlineStr">
        <is>
          <t>T-001</t>
        </is>
      </c>
      <c r="B7" t="inlineStr">
        <is>
          <t>Task</t>
        </is>
      </c>
      <c r="C7">
        <f>IFERROR(VLOOKUP($A7,'Tasks'!$A:$M,3,FALSE),"")</f>
        <v/>
      </c>
      <c r="D7">
        <f>IFERROR(VLOOKUP($A7,'Tasks'!$A:$M,2,FALSE),"")</f>
        <v/>
      </c>
      <c r="E7">
        <f>IFERROR(VLOOKUP($A7,'Tasks'!$A:$M,9,FALSE),"")</f>
        <v/>
      </c>
      <c r="F7">
        <f>IFERROR(IF(F7="","",G7-F7),"")</f>
        <v/>
      </c>
      <c r="G7">
        <f>IFERROR(VLOOKUP($A7,'Tasks'!$A:$M,10,FALSE),"")</f>
        <v/>
      </c>
      <c r="H7">
        <f>IFERROR(VLOOKUP($A7,'Tasks'!$A:$M,11,FALSE),"")</f>
        <v/>
      </c>
      <c r="I7">
        <f>IFERROR(VLOOKUP($A7,'Tasks'!$A:$M,7,FALSE),"")</f>
        <v/>
      </c>
      <c r="J7" t="inlineStr"/>
      <c r="K7" t="inlineStr"/>
      <c r="L7" t="inlineStr"/>
      <c r="M7">
        <f>IFERROR(VLOOKUP($A7,'Tasks'!$A:$M,14,FALSE),"")</f>
        <v/>
      </c>
      <c r="N7" t="inlineStr"/>
    </row>
    <row r="8">
      <c r="A8" t="inlineStr">
        <is>
          <t>T-002</t>
        </is>
      </c>
      <c r="B8" t="inlineStr">
        <is>
          <t>Task</t>
        </is>
      </c>
      <c r="C8">
        <f>IFERROR(VLOOKUP($A8,'Tasks'!$A:$M,3,FALSE),"")</f>
        <v/>
      </c>
      <c r="D8">
        <f>IFERROR(VLOOKUP($A8,'Tasks'!$A:$M,2,FALSE),"")</f>
        <v/>
      </c>
      <c r="E8">
        <f>IFERROR(VLOOKUP($A8,'Tasks'!$A:$M,9,FALSE),"")</f>
        <v/>
      </c>
      <c r="F8">
        <f>IFERROR(IF(F8="","",G8-F8),"")</f>
        <v/>
      </c>
      <c r="G8">
        <f>IFERROR(VLOOKUP($A8,'Tasks'!$A:$M,10,FALSE),"")</f>
        <v/>
      </c>
      <c r="H8">
        <f>IFERROR(VLOOKUP($A8,'Tasks'!$A:$M,11,FALSE),"")</f>
        <v/>
      </c>
      <c r="I8">
        <f>IFERROR(VLOOKUP($A8,'Tasks'!$A:$M,7,FALSE),"")</f>
        <v/>
      </c>
      <c r="J8" t="inlineStr"/>
      <c r="K8" t="inlineStr"/>
      <c r="L8" t="inlineStr"/>
      <c r="M8">
        <f>IFERROR(VLOOKUP($A8,'Tasks'!$A:$M,14,FALSE),"")</f>
        <v/>
      </c>
      <c r="N8" t="inlineStr"/>
    </row>
    <row r="9">
      <c r="A9" t="inlineStr">
        <is>
          <t>T-003</t>
        </is>
      </c>
      <c r="B9" t="inlineStr">
        <is>
          <t>Task</t>
        </is>
      </c>
      <c r="C9">
        <f>IFERROR(VLOOKUP($A9,'Tasks'!$A:$M,3,FALSE),"")</f>
        <v/>
      </c>
      <c r="D9">
        <f>IFERROR(VLOOKUP($A9,'Tasks'!$A:$M,2,FALSE),"")</f>
        <v/>
      </c>
      <c r="E9">
        <f>IFERROR(VLOOKUP($A9,'Tasks'!$A:$M,9,FALSE),"")</f>
        <v/>
      </c>
      <c r="F9">
        <f>IFERROR(IF(F9="","",G9-F9),"")</f>
        <v/>
      </c>
      <c r="G9">
        <f>IFERROR(VLOOKUP($A9,'Tasks'!$A:$M,10,FALSE),"")</f>
        <v/>
      </c>
      <c r="H9">
        <f>IFERROR(VLOOKUP($A9,'Tasks'!$A:$M,11,FALSE),"")</f>
        <v/>
      </c>
      <c r="I9">
        <f>IFERROR(VLOOKUP($A9,'Tasks'!$A:$M,7,FALSE),"")</f>
        <v/>
      </c>
      <c r="J9" t="inlineStr"/>
      <c r="K9" t="inlineStr"/>
      <c r="L9" t="inlineStr"/>
      <c r="M9">
        <f>IFERROR(VLOOKUP($A9,'Tasks'!$A:$M,14,FALSE),"")</f>
        <v/>
      </c>
      <c r="N9" t="inlineStr"/>
    </row>
    <row r="10">
      <c r="A10" t="inlineStr">
        <is>
          <t>T-004</t>
        </is>
      </c>
      <c r="B10" t="inlineStr">
        <is>
          <t>Task</t>
        </is>
      </c>
      <c r="C10">
        <f>IFERROR(VLOOKUP($A10,'Tasks'!$A:$M,3,FALSE),"")</f>
        <v/>
      </c>
      <c r="D10">
        <f>IFERROR(VLOOKUP($A10,'Tasks'!$A:$M,2,FALSE),"")</f>
        <v/>
      </c>
      <c r="E10">
        <f>IFERROR(VLOOKUP($A10,'Tasks'!$A:$M,9,FALSE),"")</f>
        <v/>
      </c>
      <c r="F10">
        <f>IFERROR(IF(F10="","",G10-F10),"")</f>
        <v/>
      </c>
      <c r="G10">
        <f>IFERROR(VLOOKUP($A10,'Tasks'!$A:$M,10,FALSE),"")</f>
        <v/>
      </c>
      <c r="H10">
        <f>IFERROR(VLOOKUP($A10,'Tasks'!$A:$M,11,FALSE),"")</f>
        <v/>
      </c>
      <c r="I10">
        <f>IFERROR(VLOOKUP($A10,'Tasks'!$A:$M,7,FALSE),"")</f>
        <v/>
      </c>
      <c r="J10" t="inlineStr"/>
      <c r="K10" t="inlineStr"/>
      <c r="L10" t="inlineStr"/>
      <c r="M10">
        <f>IFERROR(VLOOKUP($A10,'Tasks'!$A:$M,14,FALSE),"")</f>
        <v/>
      </c>
      <c r="N10" t="inlineStr"/>
    </row>
    <row r="11">
      <c r="A11" t="inlineStr">
        <is>
          <t>T-005</t>
        </is>
      </c>
      <c r="B11" t="inlineStr">
        <is>
          <t>Task</t>
        </is>
      </c>
      <c r="C11">
        <f>IFERROR(VLOOKUP($A11,'Tasks'!$A:$M,3,FALSE),"")</f>
        <v/>
      </c>
      <c r="D11">
        <f>IFERROR(VLOOKUP($A11,'Tasks'!$A:$M,2,FALSE),"")</f>
        <v/>
      </c>
      <c r="E11">
        <f>IFERROR(VLOOKUP($A11,'Tasks'!$A:$M,9,FALSE),"")</f>
        <v/>
      </c>
      <c r="F11">
        <f>IFERROR(IF(F11="","",G11-F11),"")</f>
        <v/>
      </c>
      <c r="G11">
        <f>IFERROR(VLOOKUP($A11,'Tasks'!$A:$M,10,FALSE),"")</f>
        <v/>
      </c>
      <c r="H11">
        <f>IFERROR(VLOOKUP($A11,'Tasks'!$A:$M,11,FALSE),"")</f>
        <v/>
      </c>
      <c r="I11">
        <f>IFERROR(VLOOKUP($A11,'Tasks'!$A:$M,7,FALSE),"")</f>
        <v/>
      </c>
      <c r="J11" t="inlineStr"/>
      <c r="K11" t="inlineStr"/>
      <c r="L11" t="inlineStr"/>
      <c r="M11">
        <f>IFERROR(VLOOKUP($A11,'Tasks'!$A:$M,14,FALSE),"")</f>
        <v/>
      </c>
      <c r="N11" t="inlineStr"/>
    </row>
    <row r="12">
      <c r="A12" t="inlineStr">
        <is>
          <t>T-006</t>
        </is>
      </c>
      <c r="B12" t="inlineStr">
        <is>
          <t>Task</t>
        </is>
      </c>
      <c r="C12">
        <f>IFERROR(VLOOKUP($A12,'Tasks'!$A:$M,3,FALSE),"")</f>
        <v/>
      </c>
      <c r="D12">
        <f>IFERROR(VLOOKUP($A12,'Tasks'!$A:$M,2,FALSE),"")</f>
        <v/>
      </c>
      <c r="E12">
        <f>IFERROR(VLOOKUP($A12,'Tasks'!$A:$M,9,FALSE),"")</f>
        <v/>
      </c>
      <c r="F12">
        <f>IFERROR(IF(F12="","",G12-F12),"")</f>
        <v/>
      </c>
      <c r="G12">
        <f>IFERROR(VLOOKUP($A12,'Tasks'!$A:$M,10,FALSE),"")</f>
        <v/>
      </c>
      <c r="H12">
        <f>IFERROR(VLOOKUP($A12,'Tasks'!$A:$M,11,FALSE),"")</f>
        <v/>
      </c>
      <c r="I12">
        <f>IFERROR(VLOOKUP($A12,'Tasks'!$A:$M,7,FALSE),"")</f>
        <v/>
      </c>
      <c r="J12" t="inlineStr"/>
      <c r="K12" t="inlineStr"/>
      <c r="L12" t="inlineStr"/>
      <c r="M12">
        <f>IFERROR(VLOOKUP($A12,'Tasks'!$A:$M,14,FALSE),"")</f>
        <v/>
      </c>
      <c r="N12" t="inlineStr"/>
    </row>
    <row r="13">
      <c r="A13" t="inlineStr">
        <is>
          <t>T-007</t>
        </is>
      </c>
      <c r="B13" t="inlineStr">
        <is>
          <t>Task</t>
        </is>
      </c>
      <c r="C13">
        <f>IFERROR(VLOOKUP($A13,'Tasks'!$A:$M,3,FALSE),"")</f>
        <v/>
      </c>
      <c r="D13">
        <f>IFERROR(VLOOKUP($A13,'Tasks'!$A:$M,2,FALSE),"")</f>
        <v/>
      </c>
      <c r="E13">
        <f>IFERROR(VLOOKUP($A13,'Tasks'!$A:$M,9,FALSE),"")</f>
        <v/>
      </c>
      <c r="F13">
        <f>IFERROR(IF(F13="","",G13-F13),"")</f>
        <v/>
      </c>
      <c r="G13">
        <f>IFERROR(VLOOKUP($A13,'Tasks'!$A:$M,10,FALSE),"")</f>
        <v/>
      </c>
      <c r="H13">
        <f>IFERROR(VLOOKUP($A13,'Tasks'!$A:$M,11,FALSE),"")</f>
        <v/>
      </c>
      <c r="I13">
        <f>IFERROR(VLOOKUP($A13,'Tasks'!$A:$M,7,FALSE),"")</f>
        <v/>
      </c>
      <c r="J13" t="inlineStr"/>
      <c r="K13" t="inlineStr"/>
      <c r="L13" t="inlineStr"/>
      <c r="M13">
        <f>IFERROR(VLOOKUP($A13,'Tasks'!$A:$M,14,FALSE),"")</f>
        <v/>
      </c>
      <c r="N13" t="inlineStr"/>
    </row>
    <row r="14">
      <c r="A14" t="inlineStr">
        <is>
          <t>T-008</t>
        </is>
      </c>
      <c r="B14" t="inlineStr">
        <is>
          <t>Task</t>
        </is>
      </c>
      <c r="C14">
        <f>IFERROR(VLOOKUP($A14,'Tasks'!$A:$M,3,FALSE),"")</f>
        <v/>
      </c>
      <c r="D14">
        <f>IFERROR(VLOOKUP($A14,'Tasks'!$A:$M,2,FALSE),"")</f>
        <v/>
      </c>
      <c r="E14">
        <f>IFERROR(VLOOKUP($A14,'Tasks'!$A:$M,9,FALSE),"")</f>
        <v/>
      </c>
      <c r="F14">
        <f>IFERROR(IF(F14="","",G14-F14),"")</f>
        <v/>
      </c>
      <c r="G14">
        <f>IFERROR(VLOOKUP($A14,'Tasks'!$A:$M,10,FALSE),"")</f>
        <v/>
      </c>
      <c r="H14">
        <f>IFERROR(VLOOKUP($A14,'Tasks'!$A:$M,11,FALSE),"")</f>
        <v/>
      </c>
      <c r="I14">
        <f>IFERROR(VLOOKUP($A14,'Tasks'!$A:$M,7,FALSE),"")</f>
        <v/>
      </c>
      <c r="J14" t="inlineStr"/>
      <c r="K14" t="inlineStr"/>
      <c r="L14" t="inlineStr"/>
      <c r="M14">
        <f>IFERROR(VLOOKUP($A14,'Tasks'!$A:$M,14,FALSE),"")</f>
        <v/>
      </c>
      <c r="N14" t="inlineStr"/>
    </row>
    <row r="15">
      <c r="A15" t="inlineStr">
        <is>
          <t>T-009</t>
        </is>
      </c>
      <c r="B15" t="inlineStr">
        <is>
          <t>Task</t>
        </is>
      </c>
      <c r="C15">
        <f>IFERROR(VLOOKUP($A15,'Tasks'!$A:$M,3,FALSE),"")</f>
        <v/>
      </c>
      <c r="D15">
        <f>IFERROR(VLOOKUP($A15,'Tasks'!$A:$M,2,FALSE),"")</f>
        <v/>
      </c>
      <c r="E15">
        <f>IFERROR(VLOOKUP($A15,'Tasks'!$A:$M,9,FALSE),"")</f>
        <v/>
      </c>
      <c r="F15">
        <f>IFERROR(IF(F15="","",G15-F15),"")</f>
        <v/>
      </c>
      <c r="G15">
        <f>IFERROR(VLOOKUP($A15,'Tasks'!$A:$M,10,FALSE),"")</f>
        <v/>
      </c>
      <c r="H15">
        <f>IFERROR(VLOOKUP($A15,'Tasks'!$A:$M,11,FALSE),"")</f>
        <v/>
      </c>
      <c r="I15">
        <f>IFERROR(VLOOKUP($A15,'Tasks'!$A:$M,7,FALSE),"")</f>
        <v/>
      </c>
      <c r="J15" t="inlineStr"/>
      <c r="K15" t="inlineStr"/>
      <c r="L15" t="inlineStr"/>
      <c r="M15">
        <f>IFERROR(VLOOKUP($A15,'Tasks'!$A:$M,14,FALSE),"")</f>
        <v/>
      </c>
      <c r="N15" t="inlineStr"/>
    </row>
    <row r="16">
      <c r="A16" t="inlineStr">
        <is>
          <t>T-010</t>
        </is>
      </c>
      <c r="B16" t="inlineStr">
        <is>
          <t>Task</t>
        </is>
      </c>
      <c r="C16">
        <f>IFERROR(VLOOKUP($A16,'Tasks'!$A:$M,3,FALSE),"")</f>
        <v/>
      </c>
      <c r="D16">
        <f>IFERROR(VLOOKUP($A16,'Tasks'!$A:$M,2,FALSE),"")</f>
        <v/>
      </c>
      <c r="E16">
        <f>IFERROR(VLOOKUP($A16,'Tasks'!$A:$M,9,FALSE),"")</f>
        <v/>
      </c>
      <c r="F16">
        <f>IFERROR(IF(F16="","",G16-F16),"")</f>
        <v/>
      </c>
      <c r="G16">
        <f>IFERROR(VLOOKUP($A16,'Tasks'!$A:$M,10,FALSE),"")</f>
        <v/>
      </c>
      <c r="H16">
        <f>IFERROR(VLOOKUP($A16,'Tasks'!$A:$M,11,FALSE),"")</f>
        <v/>
      </c>
      <c r="I16">
        <f>IFERROR(VLOOKUP($A16,'Tasks'!$A:$M,7,FALSE),"")</f>
        <v/>
      </c>
      <c r="J16" t="inlineStr"/>
      <c r="K16" t="inlineStr"/>
      <c r="L16" t="inlineStr"/>
      <c r="M16">
        <f>IFERROR(VLOOKUP($A16,'Tasks'!$A:$M,14,FALSE),"")</f>
        <v/>
      </c>
      <c r="N16" t="inlineStr"/>
    </row>
    <row r="17">
      <c r="A17" t="inlineStr">
        <is>
          <t>T-011</t>
        </is>
      </c>
      <c r="B17" t="inlineStr">
        <is>
          <t>Task</t>
        </is>
      </c>
      <c r="C17">
        <f>IFERROR(VLOOKUP($A17,'Tasks'!$A:$M,3,FALSE),"")</f>
        <v/>
      </c>
      <c r="D17">
        <f>IFERROR(VLOOKUP($A17,'Tasks'!$A:$M,2,FALSE),"")</f>
        <v/>
      </c>
      <c r="E17">
        <f>IFERROR(VLOOKUP($A17,'Tasks'!$A:$M,9,FALSE),"")</f>
        <v/>
      </c>
      <c r="F17">
        <f>IFERROR(IF(F17="","",G17-F17),"")</f>
        <v/>
      </c>
      <c r="G17">
        <f>IFERROR(VLOOKUP($A17,'Tasks'!$A:$M,10,FALSE),"")</f>
        <v/>
      </c>
      <c r="H17">
        <f>IFERROR(VLOOKUP($A17,'Tasks'!$A:$M,11,FALSE),"")</f>
        <v/>
      </c>
      <c r="I17">
        <f>IFERROR(VLOOKUP($A17,'Tasks'!$A:$M,7,FALSE),"")</f>
        <v/>
      </c>
      <c r="J17" t="inlineStr"/>
      <c r="K17" t="inlineStr"/>
      <c r="L17" t="inlineStr"/>
      <c r="M17">
        <f>IFERROR(VLOOKUP($A17,'Tasks'!$A:$M,14,FALSE),"")</f>
        <v/>
      </c>
      <c r="N17" t="inlineStr"/>
    </row>
    <row r="18">
      <c r="A18" t="inlineStr">
        <is>
          <t>T-012</t>
        </is>
      </c>
      <c r="B18" t="inlineStr">
        <is>
          <t>Task</t>
        </is>
      </c>
      <c r="C18">
        <f>IFERROR(VLOOKUP($A18,'Tasks'!$A:$M,3,FALSE),"")</f>
        <v/>
      </c>
      <c r="D18">
        <f>IFERROR(VLOOKUP($A18,'Tasks'!$A:$M,2,FALSE),"")</f>
        <v/>
      </c>
      <c r="E18">
        <f>IFERROR(VLOOKUP($A18,'Tasks'!$A:$M,9,FALSE),"")</f>
        <v/>
      </c>
      <c r="F18">
        <f>IFERROR(IF(F18="","",G18-F18),"")</f>
        <v/>
      </c>
      <c r="G18">
        <f>IFERROR(VLOOKUP($A18,'Tasks'!$A:$M,10,FALSE),"")</f>
        <v/>
      </c>
      <c r="H18">
        <f>IFERROR(VLOOKUP($A18,'Tasks'!$A:$M,11,FALSE),"")</f>
        <v/>
      </c>
      <c r="I18">
        <f>IFERROR(VLOOKUP($A18,'Tasks'!$A:$M,7,FALSE),"")</f>
        <v/>
      </c>
      <c r="J18" t="inlineStr"/>
      <c r="K18" t="inlineStr"/>
      <c r="L18" t="inlineStr"/>
      <c r="M18">
        <f>IFERROR(VLOOKUP($A18,'Tasks'!$A:$M,14,FALSE),"")</f>
        <v/>
      </c>
      <c r="N18" t="inlineStr"/>
    </row>
    <row r="19">
      <c r="A19" t="inlineStr">
        <is>
          <t>T-013</t>
        </is>
      </c>
      <c r="B19" t="inlineStr">
        <is>
          <t>Task</t>
        </is>
      </c>
      <c r="C19">
        <f>IFERROR(VLOOKUP($A19,'Tasks'!$A:$M,3,FALSE),"")</f>
        <v/>
      </c>
      <c r="D19">
        <f>IFERROR(VLOOKUP($A19,'Tasks'!$A:$M,2,FALSE),"")</f>
        <v/>
      </c>
      <c r="E19">
        <f>IFERROR(VLOOKUP($A19,'Tasks'!$A:$M,9,FALSE),"")</f>
        <v/>
      </c>
      <c r="F19">
        <f>IFERROR(IF(F19="","",G19-F19),"")</f>
        <v/>
      </c>
      <c r="G19">
        <f>IFERROR(VLOOKUP($A19,'Tasks'!$A:$M,10,FALSE),"")</f>
        <v/>
      </c>
      <c r="H19">
        <f>IFERROR(VLOOKUP($A19,'Tasks'!$A:$M,11,FALSE),"")</f>
        <v/>
      </c>
      <c r="I19">
        <f>IFERROR(VLOOKUP($A19,'Tasks'!$A:$M,7,FALSE),"")</f>
        <v/>
      </c>
      <c r="J19" t="inlineStr"/>
      <c r="K19" t="inlineStr"/>
      <c r="L19" t="inlineStr"/>
      <c r="M19">
        <f>IFERROR(VLOOKUP($A19,'Tasks'!$A:$M,14,FALSE),"")</f>
        <v/>
      </c>
      <c r="N19" t="inlineStr"/>
    </row>
    <row r="20">
      <c r="A20" t="inlineStr">
        <is>
          <t>T-014</t>
        </is>
      </c>
      <c r="B20" t="inlineStr">
        <is>
          <t>Task</t>
        </is>
      </c>
      <c r="C20">
        <f>IFERROR(VLOOKUP($A20,'Tasks'!$A:$M,3,FALSE),"")</f>
        <v/>
      </c>
      <c r="D20">
        <f>IFERROR(VLOOKUP($A20,'Tasks'!$A:$M,2,FALSE),"")</f>
        <v/>
      </c>
      <c r="E20">
        <f>IFERROR(VLOOKUP($A20,'Tasks'!$A:$M,9,FALSE),"")</f>
        <v/>
      </c>
      <c r="F20">
        <f>IFERROR(IF(F20="","",G20-F20),"")</f>
        <v/>
      </c>
      <c r="G20">
        <f>IFERROR(VLOOKUP($A20,'Tasks'!$A:$M,10,FALSE),"")</f>
        <v/>
      </c>
      <c r="H20">
        <f>IFERROR(VLOOKUP($A20,'Tasks'!$A:$M,11,FALSE),"")</f>
        <v/>
      </c>
      <c r="I20">
        <f>IFERROR(VLOOKUP($A20,'Tasks'!$A:$M,7,FALSE),"")</f>
        <v/>
      </c>
      <c r="J20" t="inlineStr"/>
      <c r="K20" t="inlineStr"/>
      <c r="L20" t="inlineStr"/>
      <c r="M20">
        <f>IFERROR(VLOOKUP($A20,'Tasks'!$A:$M,14,FALSE),"")</f>
        <v/>
      </c>
      <c r="N20" t="inlineStr"/>
    </row>
    <row r="21">
      <c r="A21" t="inlineStr">
        <is>
          <t>D-001</t>
        </is>
      </c>
      <c r="B21" t="inlineStr">
        <is>
          <t>Deliverable</t>
        </is>
      </c>
      <c r="C21">
        <f>IFERROR(VLOOKUP($A21,'Deliverables'!$A:$I,3,FALSE),"")</f>
        <v/>
      </c>
      <c r="D21">
        <f>IFERROR(VLOOKUP($A21,'Deliverables'!$A:$I,2,FALSE),"")</f>
        <v/>
      </c>
      <c r="E21">
        <f>IFERROR(VLOOKUP($A21,'Deliverables'!$A:$I,6,FALSE),"")</f>
        <v/>
      </c>
      <c r="F21">
        <f>IFERROR(IF(F21="","",G21-F21),"")</f>
        <v/>
      </c>
      <c r="G21">
        <f>IFERROR(VLOOKUP($A21,'Deliverables'!$A:$I,7,FALSE),"")</f>
        <v/>
      </c>
      <c r="H21">
        <f>IFERROR(VLOOKUP($A21,'Deliverables'!$A:$I,8,FALSE),"")</f>
        <v/>
      </c>
      <c r="I21">
        <f>IFERROR(VLOOKUP($A21,'Deliverables'!$A:$I,5,FALSE),"")</f>
        <v/>
      </c>
      <c r="J21">
        <f>IFERROR(VLOOKUP($A21,'Deliverables'!$A:$I,9,FALSE),"")</f>
        <v/>
      </c>
      <c r="K21">
        <f>IFERROR(VLOOKUP($A21,'Deliverables'!$A:$I,10,FALSE),"")</f>
        <v/>
      </c>
      <c r="L21">
        <f>IFERROR(VLOOKUP($A21,'Deliverables'!$A:$I,11,FALSE),"")</f>
        <v/>
      </c>
      <c r="M21" t="inlineStr"/>
      <c r="N21" t="inlineStr"/>
    </row>
    <row r="22">
      <c r="A22" t="inlineStr">
        <is>
          <t>D-002</t>
        </is>
      </c>
      <c r="B22" t="inlineStr">
        <is>
          <t>Deliverable</t>
        </is>
      </c>
      <c r="C22">
        <f>IFERROR(VLOOKUP($A22,'Deliverables'!$A:$I,3,FALSE),"")</f>
        <v/>
      </c>
      <c r="D22">
        <f>IFERROR(VLOOKUP($A22,'Deliverables'!$A:$I,2,FALSE),"")</f>
        <v/>
      </c>
      <c r="E22">
        <f>IFERROR(VLOOKUP($A22,'Deliverables'!$A:$I,6,FALSE),"")</f>
        <v/>
      </c>
      <c r="F22">
        <f>IFERROR(IF(F22="","",G22-F22),"")</f>
        <v/>
      </c>
      <c r="G22">
        <f>IFERROR(VLOOKUP($A22,'Deliverables'!$A:$I,7,FALSE),"")</f>
        <v/>
      </c>
      <c r="H22">
        <f>IFERROR(VLOOKUP($A22,'Deliverables'!$A:$I,8,FALSE),"")</f>
        <v/>
      </c>
      <c r="I22">
        <f>IFERROR(VLOOKUP($A22,'Deliverables'!$A:$I,5,FALSE),"")</f>
        <v/>
      </c>
      <c r="J22">
        <f>IFERROR(VLOOKUP($A22,'Deliverables'!$A:$I,9,FALSE),"")</f>
        <v/>
      </c>
      <c r="K22">
        <f>IFERROR(VLOOKUP($A22,'Deliverables'!$A:$I,10,FALSE),"")</f>
        <v/>
      </c>
      <c r="L22">
        <f>IFERROR(VLOOKUP($A22,'Deliverables'!$A:$I,11,FALSE),"")</f>
        <v/>
      </c>
      <c r="M22" t="inlineStr"/>
      <c r="N22" t="inlineStr"/>
    </row>
    <row r="23">
      <c r="A23" t="inlineStr">
        <is>
          <t>D-003</t>
        </is>
      </c>
      <c r="B23" t="inlineStr">
        <is>
          <t>Deliverable</t>
        </is>
      </c>
      <c r="C23">
        <f>IFERROR(VLOOKUP($A23,'Deliverables'!$A:$I,3,FALSE),"")</f>
        <v/>
      </c>
      <c r="D23">
        <f>IFERROR(VLOOKUP($A23,'Deliverables'!$A:$I,2,FALSE),"")</f>
        <v/>
      </c>
      <c r="E23">
        <f>IFERROR(VLOOKUP($A23,'Deliverables'!$A:$I,6,FALSE),"")</f>
        <v/>
      </c>
      <c r="F23">
        <f>IFERROR(IF(F23="","",G23-F23),"")</f>
        <v/>
      </c>
      <c r="G23">
        <f>IFERROR(VLOOKUP($A23,'Deliverables'!$A:$I,7,FALSE),"")</f>
        <v/>
      </c>
      <c r="H23">
        <f>IFERROR(VLOOKUP($A23,'Deliverables'!$A:$I,8,FALSE),"")</f>
        <v/>
      </c>
      <c r="I23">
        <f>IFERROR(VLOOKUP($A23,'Deliverables'!$A:$I,5,FALSE),"")</f>
        <v/>
      </c>
      <c r="J23">
        <f>IFERROR(VLOOKUP($A23,'Deliverables'!$A:$I,9,FALSE),"")</f>
        <v/>
      </c>
      <c r="K23">
        <f>IFERROR(VLOOKUP($A23,'Deliverables'!$A:$I,10,FALSE),"")</f>
        <v/>
      </c>
      <c r="L23">
        <f>IFERROR(VLOOKUP($A23,'Deliverables'!$A:$I,11,FALSE),"")</f>
        <v/>
      </c>
      <c r="M23" t="inlineStr"/>
      <c r="N23" t="inlineStr"/>
    </row>
    <row r="24">
      <c r="A24" t="inlineStr">
        <is>
          <t>D-004</t>
        </is>
      </c>
      <c r="B24" t="inlineStr">
        <is>
          <t>Deliverable</t>
        </is>
      </c>
      <c r="C24">
        <f>IFERROR(VLOOKUP($A24,'Deliverables'!$A:$I,3,FALSE),"")</f>
        <v/>
      </c>
      <c r="D24">
        <f>IFERROR(VLOOKUP($A24,'Deliverables'!$A:$I,2,FALSE),"")</f>
        <v/>
      </c>
      <c r="E24">
        <f>IFERROR(VLOOKUP($A24,'Deliverables'!$A:$I,6,FALSE),"")</f>
        <v/>
      </c>
      <c r="F24">
        <f>IFERROR(IF(F24="","",G24-F24),"")</f>
        <v/>
      </c>
      <c r="G24">
        <f>IFERROR(VLOOKUP($A24,'Deliverables'!$A:$I,7,FALSE),"")</f>
        <v/>
      </c>
      <c r="H24">
        <f>IFERROR(VLOOKUP($A24,'Deliverables'!$A:$I,8,FALSE),"")</f>
        <v/>
      </c>
      <c r="I24">
        <f>IFERROR(VLOOKUP($A24,'Deliverables'!$A:$I,5,FALSE),"")</f>
        <v/>
      </c>
      <c r="J24">
        <f>IFERROR(VLOOKUP($A24,'Deliverables'!$A:$I,9,FALSE),"")</f>
        <v/>
      </c>
      <c r="K24">
        <f>IFERROR(VLOOKUP($A24,'Deliverables'!$A:$I,10,FALSE),"")</f>
        <v/>
      </c>
      <c r="L24">
        <f>IFERROR(VLOOKUP($A24,'Deliverables'!$A:$I,11,FALSE),"")</f>
        <v/>
      </c>
      <c r="M24" t="inlineStr"/>
      <c r="N24" t="inlineStr"/>
    </row>
    <row r="25">
      <c r="A25" t="inlineStr">
        <is>
          <t>D-005</t>
        </is>
      </c>
      <c r="B25" t="inlineStr">
        <is>
          <t>Deliverable</t>
        </is>
      </c>
      <c r="C25">
        <f>IFERROR(VLOOKUP($A25,'Deliverables'!$A:$I,3,FALSE),"")</f>
        <v/>
      </c>
      <c r="D25">
        <f>IFERROR(VLOOKUP($A25,'Deliverables'!$A:$I,2,FALSE),"")</f>
        <v/>
      </c>
      <c r="E25">
        <f>IFERROR(VLOOKUP($A25,'Deliverables'!$A:$I,6,FALSE),"")</f>
        <v/>
      </c>
      <c r="F25">
        <f>IFERROR(IF(F25="","",G25-F25),"")</f>
        <v/>
      </c>
      <c r="G25">
        <f>IFERROR(VLOOKUP($A25,'Deliverables'!$A:$I,7,FALSE),"")</f>
        <v/>
      </c>
      <c r="H25">
        <f>IFERROR(VLOOKUP($A25,'Deliverables'!$A:$I,8,FALSE),"")</f>
        <v/>
      </c>
      <c r="I25">
        <f>IFERROR(VLOOKUP($A25,'Deliverables'!$A:$I,5,FALSE),"")</f>
        <v/>
      </c>
      <c r="J25">
        <f>IFERROR(VLOOKUP($A25,'Deliverables'!$A:$I,9,FALSE),"")</f>
        <v/>
      </c>
      <c r="K25">
        <f>IFERROR(VLOOKUP($A25,'Deliverables'!$A:$I,10,FALSE),"")</f>
        <v/>
      </c>
      <c r="L25">
        <f>IFERROR(VLOOKUP($A25,'Deliverables'!$A:$I,11,FALSE),"")</f>
        <v/>
      </c>
      <c r="M25" t="inlineStr"/>
      <c r="N25" t="inlineStr"/>
    </row>
    <row r="26">
      <c r="A26" t="inlineStr">
        <is>
          <t>D-006</t>
        </is>
      </c>
      <c r="B26" t="inlineStr">
        <is>
          <t>Deliverable</t>
        </is>
      </c>
      <c r="C26">
        <f>IFERROR(VLOOKUP($A26,'Deliverables'!$A:$I,3,FALSE),"")</f>
        <v/>
      </c>
      <c r="D26">
        <f>IFERROR(VLOOKUP($A26,'Deliverables'!$A:$I,2,FALSE),"")</f>
        <v/>
      </c>
      <c r="E26">
        <f>IFERROR(VLOOKUP($A26,'Deliverables'!$A:$I,6,FALSE),"")</f>
        <v/>
      </c>
      <c r="F26">
        <f>IFERROR(IF(F26="","",G26-F26),"")</f>
        <v/>
      </c>
      <c r="G26">
        <f>IFERROR(VLOOKUP($A26,'Deliverables'!$A:$I,7,FALSE),"")</f>
        <v/>
      </c>
      <c r="H26">
        <f>IFERROR(VLOOKUP($A26,'Deliverables'!$A:$I,8,FALSE),"")</f>
        <v/>
      </c>
      <c r="I26">
        <f>IFERROR(VLOOKUP($A26,'Deliverables'!$A:$I,5,FALSE),"")</f>
        <v/>
      </c>
      <c r="J26">
        <f>IFERROR(VLOOKUP($A26,'Deliverables'!$A:$I,9,FALSE),"")</f>
        <v/>
      </c>
      <c r="K26">
        <f>IFERROR(VLOOKUP($A26,'Deliverables'!$A:$I,10,FALSE),"")</f>
        <v/>
      </c>
      <c r="L26">
        <f>IFERROR(VLOOKUP($A26,'Deliverables'!$A:$I,11,FALSE),"")</f>
        <v/>
      </c>
      <c r="M26" t="inlineStr"/>
      <c r="N26" t="inlineStr"/>
    </row>
    <row r="27">
      <c r="A27" t="inlineStr">
        <is>
          <t>D-007</t>
        </is>
      </c>
      <c r="B27" t="inlineStr">
        <is>
          <t>Deliverable</t>
        </is>
      </c>
      <c r="C27">
        <f>IFERROR(VLOOKUP($A27,'Deliverables'!$A:$I,3,FALSE),"")</f>
        <v/>
      </c>
      <c r="D27">
        <f>IFERROR(VLOOKUP($A27,'Deliverables'!$A:$I,2,FALSE),"")</f>
        <v/>
      </c>
      <c r="E27">
        <f>IFERROR(VLOOKUP($A27,'Deliverables'!$A:$I,6,FALSE),"")</f>
        <v/>
      </c>
      <c r="F27">
        <f>IFERROR(IF(F27="","",G27-F27),"")</f>
        <v/>
      </c>
      <c r="G27">
        <f>IFERROR(VLOOKUP($A27,'Deliverables'!$A:$I,7,FALSE),"")</f>
        <v/>
      </c>
      <c r="H27">
        <f>IFERROR(VLOOKUP($A27,'Deliverables'!$A:$I,8,FALSE),"")</f>
        <v/>
      </c>
      <c r="I27">
        <f>IFERROR(VLOOKUP($A27,'Deliverables'!$A:$I,5,FALSE),"")</f>
        <v/>
      </c>
      <c r="J27">
        <f>IFERROR(VLOOKUP($A27,'Deliverables'!$A:$I,9,FALSE),"")</f>
        <v/>
      </c>
      <c r="K27">
        <f>IFERROR(VLOOKUP($A27,'Deliverables'!$A:$I,10,FALSE),"")</f>
        <v/>
      </c>
      <c r="L27">
        <f>IFERROR(VLOOKUP($A27,'Deliverables'!$A:$I,11,FALSE),"")</f>
        <v/>
      </c>
      <c r="M27" t="inlineStr"/>
      <c r="N27" t="inlineStr"/>
    </row>
    <row r="28">
      <c r="A28" t="inlineStr">
        <is>
          <t>D-008</t>
        </is>
      </c>
      <c r="B28" t="inlineStr">
        <is>
          <t>Deliverable</t>
        </is>
      </c>
      <c r="C28">
        <f>IFERROR(VLOOKUP($A28,'Deliverables'!$A:$I,3,FALSE),"")</f>
        <v/>
      </c>
      <c r="D28">
        <f>IFERROR(VLOOKUP($A28,'Deliverables'!$A:$I,2,FALSE),"")</f>
        <v/>
      </c>
      <c r="E28">
        <f>IFERROR(VLOOKUP($A28,'Deliverables'!$A:$I,6,FALSE),"")</f>
        <v/>
      </c>
      <c r="F28">
        <f>IFERROR(IF(F28="","",G28-F28),"")</f>
        <v/>
      </c>
      <c r="G28">
        <f>IFERROR(VLOOKUP($A28,'Deliverables'!$A:$I,7,FALSE),"")</f>
        <v/>
      </c>
      <c r="H28">
        <f>IFERROR(VLOOKUP($A28,'Deliverables'!$A:$I,8,FALSE),"")</f>
        <v/>
      </c>
      <c r="I28">
        <f>IFERROR(VLOOKUP($A28,'Deliverables'!$A:$I,5,FALSE),"")</f>
        <v/>
      </c>
      <c r="J28">
        <f>IFERROR(VLOOKUP($A28,'Deliverables'!$A:$I,9,FALSE),"")</f>
        <v/>
      </c>
      <c r="K28">
        <f>IFERROR(VLOOKUP($A28,'Deliverables'!$A:$I,10,FALSE),"")</f>
        <v/>
      </c>
      <c r="L28">
        <f>IFERROR(VLOOKUP($A28,'Deliverables'!$A:$I,11,FALSE),"")</f>
        <v/>
      </c>
      <c r="M28" t="inlineStr"/>
      <c r="N28" t="inlineStr"/>
    </row>
    <row r="29">
      <c r="A29" t="inlineStr">
        <is>
          <t>D-009</t>
        </is>
      </c>
      <c r="B29" t="inlineStr">
        <is>
          <t>Deliverable</t>
        </is>
      </c>
      <c r="C29">
        <f>IFERROR(VLOOKUP($A29,'Deliverables'!$A:$I,3,FALSE),"")</f>
        <v/>
      </c>
      <c r="D29">
        <f>IFERROR(VLOOKUP($A29,'Deliverables'!$A:$I,2,FALSE),"")</f>
        <v/>
      </c>
      <c r="E29">
        <f>IFERROR(VLOOKUP($A29,'Deliverables'!$A:$I,6,FALSE),"")</f>
        <v/>
      </c>
      <c r="F29">
        <f>IFERROR(IF(F29="","",G29-F29),"")</f>
        <v/>
      </c>
      <c r="G29">
        <f>IFERROR(VLOOKUP($A29,'Deliverables'!$A:$I,7,FALSE),"")</f>
        <v/>
      </c>
      <c r="H29">
        <f>IFERROR(VLOOKUP($A29,'Deliverables'!$A:$I,8,FALSE),"")</f>
        <v/>
      </c>
      <c r="I29">
        <f>IFERROR(VLOOKUP($A29,'Deliverables'!$A:$I,5,FALSE),"")</f>
        <v/>
      </c>
      <c r="J29">
        <f>IFERROR(VLOOKUP($A29,'Deliverables'!$A:$I,9,FALSE),"")</f>
        <v/>
      </c>
      <c r="K29">
        <f>IFERROR(VLOOKUP($A29,'Deliverables'!$A:$I,10,FALSE),"")</f>
        <v/>
      </c>
      <c r="L29">
        <f>IFERROR(VLOOKUP($A29,'Deliverables'!$A:$I,11,FALSE),"")</f>
        <v/>
      </c>
      <c r="M29" t="inlineStr"/>
      <c r="N29" t="inlineStr"/>
    </row>
    <row r="30">
      <c r="A30" t="inlineStr">
        <is>
          <t>D-010</t>
        </is>
      </c>
      <c r="B30" t="inlineStr">
        <is>
          <t>Deliverable</t>
        </is>
      </c>
      <c r="C30">
        <f>IFERROR(VLOOKUP($A30,'Deliverables'!$A:$I,3,FALSE),"")</f>
        <v/>
      </c>
      <c r="D30">
        <f>IFERROR(VLOOKUP($A30,'Deliverables'!$A:$I,2,FALSE),"")</f>
        <v/>
      </c>
      <c r="E30">
        <f>IFERROR(VLOOKUP($A30,'Deliverables'!$A:$I,6,FALSE),"")</f>
        <v/>
      </c>
      <c r="F30">
        <f>IFERROR(IF(F30="","",G30-F30),"")</f>
        <v/>
      </c>
      <c r="G30">
        <f>IFERROR(VLOOKUP($A30,'Deliverables'!$A:$I,7,FALSE),"")</f>
        <v/>
      </c>
      <c r="H30">
        <f>IFERROR(VLOOKUP($A30,'Deliverables'!$A:$I,8,FALSE),"")</f>
        <v/>
      </c>
      <c r="I30">
        <f>IFERROR(VLOOKUP($A30,'Deliverables'!$A:$I,5,FALSE),"")</f>
        <v/>
      </c>
      <c r="J30">
        <f>IFERROR(VLOOKUP($A30,'Deliverables'!$A:$I,9,FALSE),"")</f>
        <v/>
      </c>
      <c r="K30">
        <f>IFERROR(VLOOKUP($A30,'Deliverables'!$A:$I,10,FALSE),"")</f>
        <v/>
      </c>
      <c r="L30">
        <f>IFERROR(VLOOKUP($A30,'Deliverables'!$A:$I,11,FALSE),"")</f>
        <v/>
      </c>
      <c r="M30" t="inlineStr"/>
      <c r="N30" t="inlineStr"/>
    </row>
    <row r="31">
      <c r="A31" t="inlineStr">
        <is>
          <t>D-011</t>
        </is>
      </c>
      <c r="B31" t="inlineStr">
        <is>
          <t>Deliverable</t>
        </is>
      </c>
      <c r="C31">
        <f>IFERROR(VLOOKUP($A31,'Deliverables'!$A:$I,3,FALSE),"")</f>
        <v/>
      </c>
      <c r="D31">
        <f>IFERROR(VLOOKUP($A31,'Deliverables'!$A:$I,2,FALSE),"")</f>
        <v/>
      </c>
      <c r="E31">
        <f>IFERROR(VLOOKUP($A31,'Deliverables'!$A:$I,6,FALSE),"")</f>
        <v/>
      </c>
      <c r="F31">
        <f>IFERROR(IF(F31="","",G31-F31),"")</f>
        <v/>
      </c>
      <c r="G31">
        <f>IFERROR(VLOOKUP($A31,'Deliverables'!$A:$I,7,FALSE),"")</f>
        <v/>
      </c>
      <c r="H31">
        <f>IFERROR(VLOOKUP($A31,'Deliverables'!$A:$I,8,FALSE),"")</f>
        <v/>
      </c>
      <c r="I31">
        <f>IFERROR(VLOOKUP($A31,'Deliverables'!$A:$I,5,FALSE),"")</f>
        <v/>
      </c>
      <c r="J31">
        <f>IFERROR(VLOOKUP($A31,'Deliverables'!$A:$I,9,FALSE),"")</f>
        <v/>
      </c>
      <c r="K31">
        <f>IFERROR(VLOOKUP($A31,'Deliverables'!$A:$I,10,FALSE),"")</f>
        <v/>
      </c>
      <c r="L31">
        <f>IFERROR(VLOOKUP($A31,'Deliverables'!$A:$I,11,FALSE),"")</f>
        <v/>
      </c>
      <c r="M31" t="inlineStr"/>
      <c r="N31" t="inlineStr"/>
    </row>
    <row r="32">
      <c r="A32" t="inlineStr">
        <is>
          <t>D-012</t>
        </is>
      </c>
      <c r="B32" t="inlineStr">
        <is>
          <t>Deliverable</t>
        </is>
      </c>
      <c r="C32">
        <f>IFERROR(VLOOKUP($A32,'Deliverables'!$A:$I,3,FALSE),"")</f>
        <v/>
      </c>
      <c r="D32">
        <f>IFERROR(VLOOKUP($A32,'Deliverables'!$A:$I,2,FALSE),"")</f>
        <v/>
      </c>
      <c r="E32">
        <f>IFERROR(VLOOKUP($A32,'Deliverables'!$A:$I,6,FALSE),"")</f>
        <v/>
      </c>
      <c r="F32">
        <f>IFERROR(IF(F32="","",G32-F32),"")</f>
        <v/>
      </c>
      <c r="G32">
        <f>IFERROR(VLOOKUP($A32,'Deliverables'!$A:$I,7,FALSE),"")</f>
        <v/>
      </c>
      <c r="H32">
        <f>IFERROR(VLOOKUP($A32,'Deliverables'!$A:$I,8,FALSE),"")</f>
        <v/>
      </c>
      <c r="I32">
        <f>IFERROR(VLOOKUP($A32,'Deliverables'!$A:$I,5,FALSE),"")</f>
        <v/>
      </c>
      <c r="J32">
        <f>IFERROR(VLOOKUP($A32,'Deliverables'!$A:$I,9,FALSE),"")</f>
        <v/>
      </c>
      <c r="K32">
        <f>IFERROR(VLOOKUP($A32,'Deliverables'!$A:$I,10,FALSE),"")</f>
        <v/>
      </c>
      <c r="L32">
        <f>IFERROR(VLOOKUP($A32,'Deliverables'!$A:$I,11,FALSE),"")</f>
        <v/>
      </c>
      <c r="M32" t="inlineStr"/>
      <c r="N32" t="inlineStr"/>
    </row>
    <row r="33">
      <c r="A33" t="inlineStr">
        <is>
          <t>D-013</t>
        </is>
      </c>
      <c r="B33" t="inlineStr">
        <is>
          <t>Deliverable</t>
        </is>
      </c>
      <c r="C33">
        <f>IFERROR(VLOOKUP($A33,'Deliverables'!$A:$I,3,FALSE),"")</f>
        <v/>
      </c>
      <c r="D33">
        <f>IFERROR(VLOOKUP($A33,'Deliverables'!$A:$I,2,FALSE),"")</f>
        <v/>
      </c>
      <c r="E33">
        <f>IFERROR(VLOOKUP($A33,'Deliverables'!$A:$I,6,FALSE),"")</f>
        <v/>
      </c>
      <c r="F33">
        <f>IFERROR(IF(F33="","",G33-F33),"")</f>
        <v/>
      </c>
      <c r="G33">
        <f>IFERROR(VLOOKUP($A33,'Deliverables'!$A:$I,7,FALSE),"")</f>
        <v/>
      </c>
      <c r="H33">
        <f>IFERROR(VLOOKUP($A33,'Deliverables'!$A:$I,8,FALSE),"")</f>
        <v/>
      </c>
      <c r="I33">
        <f>IFERROR(VLOOKUP($A33,'Deliverables'!$A:$I,5,FALSE),"")</f>
        <v/>
      </c>
      <c r="J33">
        <f>IFERROR(VLOOKUP($A33,'Deliverables'!$A:$I,9,FALSE),"")</f>
        <v/>
      </c>
      <c r="K33">
        <f>IFERROR(VLOOKUP($A33,'Deliverables'!$A:$I,10,FALSE),"")</f>
        <v/>
      </c>
      <c r="L33">
        <f>IFERROR(VLOOKUP($A33,'Deliverables'!$A:$I,11,FALSE),"")</f>
        <v/>
      </c>
      <c r="M33" t="inlineStr"/>
      <c r="N33" t="inlineStr"/>
    </row>
    <row r="34">
      <c r="A34" t="inlineStr">
        <is>
          <t>D-014</t>
        </is>
      </c>
      <c r="B34" t="inlineStr">
        <is>
          <t>Deliverable</t>
        </is>
      </c>
      <c r="C34">
        <f>IFERROR(VLOOKUP($A34,'Deliverables'!$A:$I,3,FALSE),"")</f>
        <v/>
      </c>
      <c r="D34">
        <f>IFERROR(VLOOKUP($A34,'Deliverables'!$A:$I,2,FALSE),"")</f>
        <v/>
      </c>
      <c r="E34">
        <f>IFERROR(VLOOKUP($A34,'Deliverables'!$A:$I,6,FALSE),"")</f>
        <v/>
      </c>
      <c r="F34">
        <f>IFERROR(IF(F34="","",G34-F34),"")</f>
        <v/>
      </c>
      <c r="G34">
        <f>IFERROR(VLOOKUP($A34,'Deliverables'!$A:$I,7,FALSE),"")</f>
        <v/>
      </c>
      <c r="H34">
        <f>IFERROR(VLOOKUP($A34,'Deliverables'!$A:$I,8,FALSE),"")</f>
        <v/>
      </c>
      <c r="I34">
        <f>IFERROR(VLOOKUP($A34,'Deliverables'!$A:$I,5,FALSE),"")</f>
        <v/>
      </c>
      <c r="J34">
        <f>IFERROR(VLOOKUP($A34,'Deliverables'!$A:$I,9,FALSE),"")</f>
        <v/>
      </c>
      <c r="K34">
        <f>IFERROR(VLOOKUP($A34,'Deliverables'!$A:$I,10,FALSE),"")</f>
        <v/>
      </c>
      <c r="L34">
        <f>IFERROR(VLOOKUP($A34,'Deliverables'!$A:$I,11,FALSE),"")</f>
        <v/>
      </c>
      <c r="M34" t="inlineStr"/>
      <c r="N34" t="inlineStr"/>
    </row>
    <row r="35">
      <c r="A35" t="inlineStr">
        <is>
          <t>D-015</t>
        </is>
      </c>
      <c r="B35" t="inlineStr">
        <is>
          <t>Deliverable</t>
        </is>
      </c>
      <c r="C35">
        <f>IFERROR(VLOOKUP($A35,'Deliverables'!$A:$I,3,FALSE),"")</f>
        <v/>
      </c>
      <c r="D35">
        <f>IFERROR(VLOOKUP($A35,'Deliverables'!$A:$I,2,FALSE),"")</f>
        <v/>
      </c>
      <c r="E35">
        <f>IFERROR(VLOOKUP($A35,'Deliverables'!$A:$I,6,FALSE),"")</f>
        <v/>
      </c>
      <c r="F35">
        <f>IFERROR(IF(F35="","",G35-F35),"")</f>
        <v/>
      </c>
      <c r="G35">
        <f>IFERROR(VLOOKUP($A35,'Deliverables'!$A:$I,7,FALSE),"")</f>
        <v/>
      </c>
      <c r="H35">
        <f>IFERROR(VLOOKUP($A35,'Deliverables'!$A:$I,8,FALSE),"")</f>
        <v/>
      </c>
      <c r="I35">
        <f>IFERROR(VLOOKUP($A35,'Deliverables'!$A:$I,5,FALSE),"")</f>
        <v/>
      </c>
      <c r="J35">
        <f>IFERROR(VLOOKUP($A35,'Deliverables'!$A:$I,9,FALSE),"")</f>
        <v/>
      </c>
      <c r="K35">
        <f>IFERROR(VLOOKUP($A35,'Deliverables'!$A:$I,10,FALSE),"")</f>
        <v/>
      </c>
      <c r="L35">
        <f>IFERROR(VLOOKUP($A35,'Deliverables'!$A:$I,11,FALSE),"")</f>
        <v/>
      </c>
      <c r="M35" t="inlineStr"/>
      <c r="N35" t="inlineStr"/>
    </row>
    <row r="36">
      <c r="A36" t="inlineStr">
        <is>
          <t>D-016</t>
        </is>
      </c>
      <c r="B36" t="inlineStr">
        <is>
          <t>Deliverable</t>
        </is>
      </c>
      <c r="C36">
        <f>IFERROR(VLOOKUP($A36,'Deliverables'!$A:$I,3,FALSE),"")</f>
        <v/>
      </c>
      <c r="D36">
        <f>IFERROR(VLOOKUP($A36,'Deliverables'!$A:$I,2,FALSE),"")</f>
        <v/>
      </c>
      <c r="E36">
        <f>IFERROR(VLOOKUP($A36,'Deliverables'!$A:$I,6,FALSE),"")</f>
        <v/>
      </c>
      <c r="F36">
        <f>IFERROR(IF(F36="","",G36-F36),"")</f>
        <v/>
      </c>
      <c r="G36">
        <f>IFERROR(VLOOKUP($A36,'Deliverables'!$A:$I,7,FALSE),"")</f>
        <v/>
      </c>
      <c r="H36">
        <f>IFERROR(VLOOKUP($A36,'Deliverables'!$A:$I,8,FALSE),"")</f>
        <v/>
      </c>
      <c r="I36">
        <f>IFERROR(VLOOKUP($A36,'Deliverables'!$A:$I,5,FALSE),"")</f>
        <v/>
      </c>
      <c r="J36">
        <f>IFERROR(VLOOKUP($A36,'Deliverables'!$A:$I,9,FALSE),"")</f>
        <v/>
      </c>
      <c r="K36">
        <f>IFERROR(VLOOKUP($A36,'Deliverables'!$A:$I,10,FALSE),"")</f>
        <v/>
      </c>
      <c r="L36">
        <f>IFERROR(VLOOKUP($A36,'Deliverables'!$A:$I,11,FALSE),"")</f>
        <v/>
      </c>
      <c r="M36" t="inlineStr"/>
      <c r="N36" t="inlineStr"/>
    </row>
    <row r="37">
      <c r="A37" t="inlineStr">
        <is>
          <t>D-017</t>
        </is>
      </c>
      <c r="B37" t="inlineStr">
        <is>
          <t>Deliverable</t>
        </is>
      </c>
      <c r="C37">
        <f>IFERROR(VLOOKUP($A37,'Deliverables'!$A:$I,3,FALSE),"")</f>
        <v/>
      </c>
      <c r="D37">
        <f>IFERROR(VLOOKUP($A37,'Deliverables'!$A:$I,2,FALSE),"")</f>
        <v/>
      </c>
      <c r="E37">
        <f>IFERROR(VLOOKUP($A37,'Deliverables'!$A:$I,6,FALSE),"")</f>
        <v/>
      </c>
      <c r="F37">
        <f>IFERROR(IF(F37="","",G37-F37),"")</f>
        <v/>
      </c>
      <c r="G37">
        <f>IFERROR(VLOOKUP($A37,'Deliverables'!$A:$I,7,FALSE),"")</f>
        <v/>
      </c>
      <c r="H37">
        <f>IFERROR(VLOOKUP($A37,'Deliverables'!$A:$I,8,FALSE),"")</f>
        <v/>
      </c>
      <c r="I37">
        <f>IFERROR(VLOOKUP($A37,'Deliverables'!$A:$I,5,FALSE),"")</f>
        <v/>
      </c>
      <c r="J37">
        <f>IFERROR(VLOOKUP($A37,'Deliverables'!$A:$I,9,FALSE),"")</f>
        <v/>
      </c>
      <c r="K37">
        <f>IFERROR(VLOOKUP($A37,'Deliverables'!$A:$I,10,FALSE),"")</f>
        <v/>
      </c>
      <c r="L37">
        <f>IFERROR(VLOOKUP($A37,'Deliverables'!$A:$I,11,FALSE),"")</f>
        <v/>
      </c>
      <c r="M37" t="inlineStr"/>
      <c r="N37" t="inlineStr"/>
    </row>
    <row r="38">
      <c r="A38" t="inlineStr">
        <is>
          <t>D-018</t>
        </is>
      </c>
      <c r="B38" t="inlineStr">
        <is>
          <t>Deliverable</t>
        </is>
      </c>
      <c r="C38">
        <f>IFERROR(VLOOKUP($A38,'Deliverables'!$A:$I,3,FALSE),"")</f>
        <v/>
      </c>
      <c r="D38">
        <f>IFERROR(VLOOKUP($A38,'Deliverables'!$A:$I,2,FALSE),"")</f>
        <v/>
      </c>
      <c r="E38">
        <f>IFERROR(VLOOKUP($A38,'Deliverables'!$A:$I,6,FALSE),"")</f>
        <v/>
      </c>
      <c r="F38">
        <f>IFERROR(IF(F38="","",G38-F38),"")</f>
        <v/>
      </c>
      <c r="G38">
        <f>IFERROR(VLOOKUP($A38,'Deliverables'!$A:$I,7,FALSE),"")</f>
        <v/>
      </c>
      <c r="H38">
        <f>IFERROR(VLOOKUP($A38,'Deliverables'!$A:$I,8,FALSE),"")</f>
        <v/>
      </c>
      <c r="I38">
        <f>IFERROR(VLOOKUP($A38,'Deliverables'!$A:$I,5,FALSE),"")</f>
        <v/>
      </c>
      <c r="J38">
        <f>IFERROR(VLOOKUP($A38,'Deliverables'!$A:$I,9,FALSE),"")</f>
        <v/>
      </c>
      <c r="K38">
        <f>IFERROR(VLOOKUP($A38,'Deliverables'!$A:$I,10,FALSE),"")</f>
        <v/>
      </c>
      <c r="L38">
        <f>IFERROR(VLOOKUP($A38,'Deliverables'!$A:$I,11,FALSE),"")</f>
        <v/>
      </c>
      <c r="M38" t="inlineStr"/>
      <c r="N38" t="inlineStr"/>
    </row>
    <row r="39">
      <c r="A39" t="inlineStr">
        <is>
          <t>D-019</t>
        </is>
      </c>
      <c r="B39" t="inlineStr">
        <is>
          <t>Deliverable</t>
        </is>
      </c>
      <c r="C39">
        <f>IFERROR(VLOOKUP($A39,'Deliverables'!$A:$I,3,FALSE),"")</f>
        <v/>
      </c>
      <c r="D39">
        <f>IFERROR(VLOOKUP($A39,'Deliverables'!$A:$I,2,FALSE),"")</f>
        <v/>
      </c>
      <c r="E39">
        <f>IFERROR(VLOOKUP($A39,'Deliverables'!$A:$I,6,FALSE),"")</f>
        <v/>
      </c>
      <c r="F39">
        <f>IFERROR(IF(F39="","",G39-F39),"")</f>
        <v/>
      </c>
      <c r="G39">
        <f>IFERROR(VLOOKUP($A39,'Deliverables'!$A:$I,7,FALSE),"")</f>
        <v/>
      </c>
      <c r="H39">
        <f>IFERROR(VLOOKUP($A39,'Deliverables'!$A:$I,8,FALSE),"")</f>
        <v/>
      </c>
      <c r="I39">
        <f>IFERROR(VLOOKUP($A39,'Deliverables'!$A:$I,5,FALSE),"")</f>
        <v/>
      </c>
      <c r="J39">
        <f>IFERROR(VLOOKUP($A39,'Deliverables'!$A:$I,9,FALSE),"")</f>
        <v/>
      </c>
      <c r="K39">
        <f>IFERROR(VLOOKUP($A39,'Deliverables'!$A:$I,10,FALSE),"")</f>
        <v/>
      </c>
      <c r="L39">
        <f>IFERROR(VLOOKUP($A39,'Deliverables'!$A:$I,11,FALSE),"")</f>
        <v/>
      </c>
      <c r="M39" t="inlineStr"/>
      <c r="N39" t="inlineStr"/>
    </row>
    <row r="40">
      <c r="A40" t="inlineStr">
        <is>
          <t>D-020</t>
        </is>
      </c>
      <c r="B40" t="inlineStr">
        <is>
          <t>Deliverable</t>
        </is>
      </c>
      <c r="C40">
        <f>IFERROR(VLOOKUP($A40,'Deliverables'!$A:$I,3,FALSE),"")</f>
        <v/>
      </c>
      <c r="D40">
        <f>IFERROR(VLOOKUP($A40,'Deliverables'!$A:$I,2,FALSE),"")</f>
        <v/>
      </c>
      <c r="E40">
        <f>IFERROR(VLOOKUP($A40,'Deliverables'!$A:$I,6,FALSE),"")</f>
        <v/>
      </c>
      <c r="F40">
        <f>IFERROR(IF(F40="","",G40-F40),"")</f>
        <v/>
      </c>
      <c r="G40">
        <f>IFERROR(VLOOKUP($A40,'Deliverables'!$A:$I,7,FALSE),"")</f>
        <v/>
      </c>
      <c r="H40">
        <f>IFERROR(VLOOKUP($A40,'Deliverables'!$A:$I,8,FALSE),"")</f>
        <v/>
      </c>
      <c r="I40">
        <f>IFERROR(VLOOKUP($A40,'Deliverables'!$A:$I,5,FALSE),"")</f>
        <v/>
      </c>
      <c r="J40">
        <f>IFERROR(VLOOKUP($A40,'Deliverables'!$A:$I,9,FALSE),"")</f>
        <v/>
      </c>
      <c r="K40">
        <f>IFERROR(VLOOKUP($A40,'Deliverables'!$A:$I,10,FALSE),"")</f>
        <v/>
      </c>
      <c r="L40">
        <f>IFERROR(VLOOKUP($A40,'Deliverables'!$A:$I,11,FALSE),"")</f>
        <v/>
      </c>
      <c r="M40" t="inlineStr"/>
      <c r="N40" t="inlineStr"/>
    </row>
    <row r="41">
      <c r="A41" t="inlineStr">
        <is>
          <t>D-021</t>
        </is>
      </c>
      <c r="B41" t="inlineStr">
        <is>
          <t>Deliverable</t>
        </is>
      </c>
      <c r="C41">
        <f>IFERROR(VLOOKUP($A41,'Deliverables'!$A:$I,3,FALSE),"")</f>
        <v/>
      </c>
      <c r="D41">
        <f>IFERROR(VLOOKUP($A41,'Deliverables'!$A:$I,2,FALSE),"")</f>
        <v/>
      </c>
      <c r="E41">
        <f>IFERROR(VLOOKUP($A41,'Deliverables'!$A:$I,6,FALSE),"")</f>
        <v/>
      </c>
      <c r="F41">
        <f>IFERROR(IF(F41="","",G41-F41),"")</f>
        <v/>
      </c>
      <c r="G41">
        <f>IFERROR(VLOOKUP($A41,'Deliverables'!$A:$I,7,FALSE),"")</f>
        <v/>
      </c>
      <c r="H41">
        <f>IFERROR(VLOOKUP($A41,'Deliverables'!$A:$I,8,FALSE),"")</f>
        <v/>
      </c>
      <c r="I41">
        <f>IFERROR(VLOOKUP($A41,'Deliverables'!$A:$I,5,FALSE),"")</f>
        <v/>
      </c>
      <c r="J41">
        <f>IFERROR(VLOOKUP($A41,'Deliverables'!$A:$I,9,FALSE),"")</f>
        <v/>
      </c>
      <c r="K41">
        <f>IFERROR(VLOOKUP($A41,'Deliverables'!$A:$I,10,FALSE),"")</f>
        <v/>
      </c>
      <c r="L41">
        <f>IFERROR(VLOOKUP($A41,'Deliverables'!$A:$I,11,FALSE),"")</f>
        <v/>
      </c>
      <c r="M41" t="inlineStr"/>
      <c r="N41" t="inlineStr"/>
    </row>
    <row r="42">
      <c r="A42" t="inlineStr">
        <is>
          <t>D-022</t>
        </is>
      </c>
      <c r="B42" t="inlineStr">
        <is>
          <t>Deliverable</t>
        </is>
      </c>
      <c r="C42">
        <f>IFERROR(VLOOKUP($A42,'Deliverables'!$A:$I,3,FALSE),"")</f>
        <v/>
      </c>
      <c r="D42">
        <f>IFERROR(VLOOKUP($A42,'Deliverables'!$A:$I,2,FALSE),"")</f>
        <v/>
      </c>
      <c r="E42">
        <f>IFERROR(VLOOKUP($A42,'Deliverables'!$A:$I,6,FALSE),"")</f>
        <v/>
      </c>
      <c r="F42">
        <f>IFERROR(IF(F42="","",G42-F42),"")</f>
        <v/>
      </c>
      <c r="G42">
        <f>IFERROR(VLOOKUP($A42,'Deliverables'!$A:$I,7,FALSE),"")</f>
        <v/>
      </c>
      <c r="H42">
        <f>IFERROR(VLOOKUP($A42,'Deliverables'!$A:$I,8,FALSE),"")</f>
        <v/>
      </c>
      <c r="I42">
        <f>IFERROR(VLOOKUP($A42,'Deliverables'!$A:$I,5,FALSE),"")</f>
        <v/>
      </c>
      <c r="J42">
        <f>IFERROR(VLOOKUP($A42,'Deliverables'!$A:$I,9,FALSE),"")</f>
        <v/>
      </c>
      <c r="K42">
        <f>IFERROR(VLOOKUP($A42,'Deliverables'!$A:$I,10,FALSE),"")</f>
        <v/>
      </c>
      <c r="L42">
        <f>IFERROR(VLOOKUP($A42,'Deliverables'!$A:$I,11,FALSE),"")</f>
        <v/>
      </c>
      <c r="M42" t="inlineStr"/>
      <c r="N42" t="inlineStr"/>
    </row>
    <row r="43">
      <c r="A43" t="inlineStr">
        <is>
          <t>D-023</t>
        </is>
      </c>
      <c r="B43" t="inlineStr">
        <is>
          <t>Deliverable</t>
        </is>
      </c>
      <c r="C43">
        <f>IFERROR(VLOOKUP($A43,'Deliverables'!$A:$I,3,FALSE),"")</f>
        <v/>
      </c>
      <c r="D43">
        <f>IFERROR(VLOOKUP($A43,'Deliverables'!$A:$I,2,FALSE),"")</f>
        <v/>
      </c>
      <c r="E43">
        <f>IFERROR(VLOOKUP($A43,'Deliverables'!$A:$I,6,FALSE),"")</f>
        <v/>
      </c>
      <c r="F43">
        <f>IFERROR(IF(F43="","",G43-F43),"")</f>
        <v/>
      </c>
      <c r="G43">
        <f>IFERROR(VLOOKUP($A43,'Deliverables'!$A:$I,7,FALSE),"")</f>
        <v/>
      </c>
      <c r="H43">
        <f>IFERROR(VLOOKUP($A43,'Deliverables'!$A:$I,8,FALSE),"")</f>
        <v/>
      </c>
      <c r="I43">
        <f>IFERROR(VLOOKUP($A43,'Deliverables'!$A:$I,5,FALSE),"")</f>
        <v/>
      </c>
      <c r="J43">
        <f>IFERROR(VLOOKUP($A43,'Deliverables'!$A:$I,9,FALSE),"")</f>
        <v/>
      </c>
      <c r="K43">
        <f>IFERROR(VLOOKUP($A43,'Deliverables'!$A:$I,10,FALSE),"")</f>
        <v/>
      </c>
      <c r="L43">
        <f>IFERROR(VLOOKUP($A43,'Deliverables'!$A:$I,11,FALSE),"")</f>
        <v/>
      </c>
      <c r="M43" t="inlineStr"/>
      <c r="N43" t="inlineStr"/>
    </row>
    <row r="44">
      <c r="A44" t="inlineStr">
        <is>
          <t>D-024</t>
        </is>
      </c>
      <c r="B44" t="inlineStr">
        <is>
          <t>Deliverable</t>
        </is>
      </c>
      <c r="C44">
        <f>IFERROR(VLOOKUP($A44,'Deliverables'!$A:$I,3,FALSE),"")</f>
        <v/>
      </c>
      <c r="D44">
        <f>IFERROR(VLOOKUP($A44,'Deliverables'!$A:$I,2,FALSE),"")</f>
        <v/>
      </c>
      <c r="E44">
        <f>IFERROR(VLOOKUP($A44,'Deliverables'!$A:$I,6,FALSE),"")</f>
        <v/>
      </c>
      <c r="F44">
        <f>IFERROR(IF(F44="","",G44-F44),"")</f>
        <v/>
      </c>
      <c r="G44">
        <f>IFERROR(VLOOKUP($A44,'Deliverables'!$A:$I,7,FALSE),"")</f>
        <v/>
      </c>
      <c r="H44">
        <f>IFERROR(VLOOKUP($A44,'Deliverables'!$A:$I,8,FALSE),"")</f>
        <v/>
      </c>
      <c r="I44">
        <f>IFERROR(VLOOKUP($A44,'Deliverables'!$A:$I,5,FALSE),"")</f>
        <v/>
      </c>
      <c r="J44">
        <f>IFERROR(VLOOKUP($A44,'Deliverables'!$A:$I,9,FALSE),"")</f>
        <v/>
      </c>
      <c r="K44">
        <f>IFERROR(VLOOKUP($A44,'Deliverables'!$A:$I,10,FALSE),"")</f>
        <v/>
      </c>
      <c r="L44">
        <f>IFERROR(VLOOKUP($A44,'Deliverables'!$A:$I,11,FALSE),"")</f>
        <v/>
      </c>
      <c r="M44" t="inlineStr"/>
      <c r="N44" t="inlineStr"/>
    </row>
    <row r="45">
      <c r="A45" t="inlineStr">
        <is>
          <t>D-025</t>
        </is>
      </c>
      <c r="B45" t="inlineStr">
        <is>
          <t>Deliverable</t>
        </is>
      </c>
      <c r="C45">
        <f>IFERROR(VLOOKUP($A45,'Deliverables'!$A:$I,3,FALSE),"")</f>
        <v/>
      </c>
      <c r="D45">
        <f>IFERROR(VLOOKUP($A45,'Deliverables'!$A:$I,2,FALSE),"")</f>
        <v/>
      </c>
      <c r="E45">
        <f>IFERROR(VLOOKUP($A45,'Deliverables'!$A:$I,6,FALSE),"")</f>
        <v/>
      </c>
      <c r="F45">
        <f>IFERROR(IF(F45="","",G45-F45),"")</f>
        <v/>
      </c>
      <c r="G45">
        <f>IFERROR(VLOOKUP($A45,'Deliverables'!$A:$I,7,FALSE),"")</f>
        <v/>
      </c>
      <c r="H45">
        <f>IFERROR(VLOOKUP($A45,'Deliverables'!$A:$I,8,FALSE),"")</f>
        <v/>
      </c>
      <c r="I45">
        <f>IFERROR(VLOOKUP($A45,'Deliverables'!$A:$I,5,FALSE),"")</f>
        <v/>
      </c>
      <c r="J45">
        <f>IFERROR(VLOOKUP($A45,'Deliverables'!$A:$I,9,FALSE),"")</f>
        <v/>
      </c>
      <c r="K45">
        <f>IFERROR(VLOOKUP($A45,'Deliverables'!$A:$I,10,FALSE),"")</f>
        <v/>
      </c>
      <c r="L45">
        <f>IFERROR(VLOOKUP($A45,'Deliverables'!$A:$I,11,FALSE),"")</f>
        <v/>
      </c>
      <c r="M45" t="inlineStr"/>
      <c r="N45" t="inlineStr"/>
    </row>
    <row r="46">
      <c r="A46" t="inlineStr">
        <is>
          <t>D-026</t>
        </is>
      </c>
      <c r="B46" t="inlineStr">
        <is>
          <t>Deliverable</t>
        </is>
      </c>
      <c r="C46">
        <f>IFERROR(VLOOKUP($A46,'Deliverables'!$A:$I,3,FALSE),"")</f>
        <v/>
      </c>
      <c r="D46">
        <f>IFERROR(VLOOKUP($A46,'Deliverables'!$A:$I,2,FALSE),"")</f>
        <v/>
      </c>
      <c r="E46">
        <f>IFERROR(VLOOKUP($A46,'Deliverables'!$A:$I,6,FALSE),"")</f>
        <v/>
      </c>
      <c r="F46">
        <f>IFERROR(IF(F46="","",G46-F46),"")</f>
        <v/>
      </c>
      <c r="G46">
        <f>IFERROR(VLOOKUP($A46,'Deliverables'!$A:$I,7,FALSE),"")</f>
        <v/>
      </c>
      <c r="H46">
        <f>IFERROR(VLOOKUP($A46,'Deliverables'!$A:$I,8,FALSE),"")</f>
        <v/>
      </c>
      <c r="I46">
        <f>IFERROR(VLOOKUP($A46,'Deliverables'!$A:$I,5,FALSE),"")</f>
        <v/>
      </c>
      <c r="J46">
        <f>IFERROR(VLOOKUP($A46,'Deliverables'!$A:$I,9,FALSE),"")</f>
        <v/>
      </c>
      <c r="K46">
        <f>IFERROR(VLOOKUP($A46,'Deliverables'!$A:$I,10,FALSE),"")</f>
        <v/>
      </c>
      <c r="L46">
        <f>IFERROR(VLOOKUP($A46,'Deliverables'!$A:$I,11,FALSE),"")</f>
        <v/>
      </c>
      <c r="M46" t="inlineStr"/>
      <c r="N46" t="inlineStr"/>
    </row>
    <row r="47">
      <c r="A47" t="inlineStr">
        <is>
          <t>D-027</t>
        </is>
      </c>
      <c r="B47" t="inlineStr">
        <is>
          <t>Deliverable</t>
        </is>
      </c>
      <c r="C47">
        <f>IFERROR(VLOOKUP($A47,'Deliverables'!$A:$I,3,FALSE),"")</f>
        <v/>
      </c>
      <c r="D47">
        <f>IFERROR(VLOOKUP($A47,'Deliverables'!$A:$I,2,FALSE),"")</f>
        <v/>
      </c>
      <c r="E47">
        <f>IFERROR(VLOOKUP($A47,'Deliverables'!$A:$I,6,FALSE),"")</f>
        <v/>
      </c>
      <c r="F47">
        <f>IFERROR(IF(F47="","",G47-F47),"")</f>
        <v/>
      </c>
      <c r="G47">
        <f>IFERROR(VLOOKUP($A47,'Deliverables'!$A:$I,7,FALSE),"")</f>
        <v/>
      </c>
      <c r="H47">
        <f>IFERROR(VLOOKUP($A47,'Deliverables'!$A:$I,8,FALSE),"")</f>
        <v/>
      </c>
      <c r="I47">
        <f>IFERROR(VLOOKUP($A47,'Deliverables'!$A:$I,5,FALSE),"")</f>
        <v/>
      </c>
      <c r="J47">
        <f>IFERROR(VLOOKUP($A47,'Deliverables'!$A:$I,9,FALSE),"")</f>
        <v/>
      </c>
      <c r="K47">
        <f>IFERROR(VLOOKUP($A47,'Deliverables'!$A:$I,10,FALSE),"")</f>
        <v/>
      </c>
      <c r="L47">
        <f>IFERROR(VLOOKUP($A47,'Deliverables'!$A:$I,11,FALSE),"")</f>
        <v/>
      </c>
      <c r="M47" t="inlineStr"/>
      <c r="N47" t="inlineStr"/>
    </row>
    <row r="48">
      <c r="A48" t="inlineStr">
        <is>
          <t>D-028</t>
        </is>
      </c>
      <c r="B48" t="inlineStr">
        <is>
          <t>Deliverable</t>
        </is>
      </c>
      <c r="C48">
        <f>IFERROR(VLOOKUP($A48,'Deliverables'!$A:$I,3,FALSE),"")</f>
        <v/>
      </c>
      <c r="D48">
        <f>IFERROR(VLOOKUP($A48,'Deliverables'!$A:$I,2,FALSE),"")</f>
        <v/>
      </c>
      <c r="E48">
        <f>IFERROR(VLOOKUP($A48,'Deliverables'!$A:$I,6,FALSE),"")</f>
        <v/>
      </c>
      <c r="F48">
        <f>IFERROR(IF(F48="","",G48-F48),"")</f>
        <v/>
      </c>
      <c r="G48">
        <f>IFERROR(VLOOKUP($A48,'Deliverables'!$A:$I,7,FALSE),"")</f>
        <v/>
      </c>
      <c r="H48">
        <f>IFERROR(VLOOKUP($A48,'Deliverables'!$A:$I,8,FALSE),"")</f>
        <v/>
      </c>
      <c r="I48">
        <f>IFERROR(VLOOKUP($A48,'Deliverables'!$A:$I,5,FALSE),"")</f>
        <v/>
      </c>
      <c r="J48">
        <f>IFERROR(VLOOKUP($A48,'Deliverables'!$A:$I,9,FALSE),"")</f>
        <v/>
      </c>
      <c r="K48">
        <f>IFERROR(VLOOKUP($A48,'Deliverables'!$A:$I,10,FALSE),"")</f>
        <v/>
      </c>
      <c r="L48">
        <f>IFERROR(VLOOKUP($A48,'Deliverables'!$A:$I,11,FALSE),"")</f>
        <v/>
      </c>
      <c r="M48" t="inlineStr"/>
      <c r="N48" t="inlineStr"/>
    </row>
    <row r="49">
      <c r="A49" t="inlineStr">
        <is>
          <t>D-029</t>
        </is>
      </c>
      <c r="B49" t="inlineStr">
        <is>
          <t>Deliverable</t>
        </is>
      </c>
      <c r="C49">
        <f>IFERROR(VLOOKUP($A49,'Deliverables'!$A:$I,3,FALSE),"")</f>
        <v/>
      </c>
      <c r="D49">
        <f>IFERROR(VLOOKUP($A49,'Deliverables'!$A:$I,2,FALSE),"")</f>
        <v/>
      </c>
      <c r="E49">
        <f>IFERROR(VLOOKUP($A49,'Deliverables'!$A:$I,6,FALSE),"")</f>
        <v/>
      </c>
      <c r="F49">
        <f>IFERROR(IF(F49="","",G49-F49),"")</f>
        <v/>
      </c>
      <c r="G49">
        <f>IFERROR(VLOOKUP($A49,'Deliverables'!$A:$I,7,FALSE),"")</f>
        <v/>
      </c>
      <c r="H49">
        <f>IFERROR(VLOOKUP($A49,'Deliverables'!$A:$I,8,FALSE),"")</f>
        <v/>
      </c>
      <c r="I49">
        <f>IFERROR(VLOOKUP($A49,'Deliverables'!$A:$I,5,FALSE),"")</f>
        <v/>
      </c>
      <c r="J49">
        <f>IFERROR(VLOOKUP($A49,'Deliverables'!$A:$I,9,FALSE),"")</f>
        <v/>
      </c>
      <c r="K49">
        <f>IFERROR(VLOOKUP($A49,'Deliverables'!$A:$I,10,FALSE),"")</f>
        <v/>
      </c>
      <c r="L49">
        <f>IFERROR(VLOOKUP($A49,'Deliverables'!$A:$I,11,FALSE),"")</f>
        <v/>
      </c>
      <c r="M49" t="inlineStr"/>
      <c r="N49" t="inlineStr"/>
    </row>
    <row r="50">
      <c r="A50" t="inlineStr">
        <is>
          <t>D-030</t>
        </is>
      </c>
      <c r="B50" t="inlineStr">
        <is>
          <t>Deliverable</t>
        </is>
      </c>
      <c r="C50">
        <f>IFERROR(VLOOKUP($A50,'Deliverables'!$A:$I,3,FALSE),"")</f>
        <v/>
      </c>
      <c r="D50">
        <f>IFERROR(VLOOKUP($A50,'Deliverables'!$A:$I,2,FALSE),"")</f>
        <v/>
      </c>
      <c r="E50">
        <f>IFERROR(VLOOKUP($A50,'Deliverables'!$A:$I,6,FALSE),"")</f>
        <v/>
      </c>
      <c r="F50">
        <f>IFERROR(IF(F50="","",G50-F50),"")</f>
        <v/>
      </c>
      <c r="G50">
        <f>IFERROR(VLOOKUP($A50,'Deliverables'!$A:$I,7,FALSE),"")</f>
        <v/>
      </c>
      <c r="H50">
        <f>IFERROR(VLOOKUP($A50,'Deliverables'!$A:$I,8,FALSE),"")</f>
        <v/>
      </c>
      <c r="I50">
        <f>IFERROR(VLOOKUP($A50,'Deliverables'!$A:$I,5,FALSE),"")</f>
        <v/>
      </c>
      <c r="J50">
        <f>IFERROR(VLOOKUP($A50,'Deliverables'!$A:$I,9,FALSE),"")</f>
        <v/>
      </c>
      <c r="K50">
        <f>IFERROR(VLOOKUP($A50,'Deliverables'!$A:$I,10,FALSE),"")</f>
        <v/>
      </c>
      <c r="L50">
        <f>IFERROR(VLOOKUP($A50,'Deliverables'!$A:$I,11,FALSE),"")</f>
        <v/>
      </c>
      <c r="M50" t="inlineStr"/>
      <c r="N50" t="inlineStr"/>
    </row>
    <row r="51">
      <c r="A51" t="inlineStr">
        <is>
          <t>D-031</t>
        </is>
      </c>
      <c r="B51" t="inlineStr">
        <is>
          <t>Deliverable</t>
        </is>
      </c>
      <c r="C51">
        <f>IFERROR(VLOOKUP($A51,'Deliverables'!$A:$I,3,FALSE),"")</f>
        <v/>
      </c>
      <c r="D51">
        <f>IFERROR(VLOOKUP($A51,'Deliverables'!$A:$I,2,FALSE),"")</f>
        <v/>
      </c>
      <c r="E51">
        <f>IFERROR(VLOOKUP($A51,'Deliverables'!$A:$I,6,FALSE),"")</f>
        <v/>
      </c>
      <c r="F51">
        <f>IFERROR(IF(F51="","",G51-F51),"")</f>
        <v/>
      </c>
      <c r="G51">
        <f>IFERROR(VLOOKUP($A51,'Deliverables'!$A:$I,7,FALSE),"")</f>
        <v/>
      </c>
      <c r="H51">
        <f>IFERROR(VLOOKUP($A51,'Deliverables'!$A:$I,8,FALSE),"")</f>
        <v/>
      </c>
      <c r="I51">
        <f>IFERROR(VLOOKUP($A51,'Deliverables'!$A:$I,5,FALSE),"")</f>
        <v/>
      </c>
      <c r="J51">
        <f>IFERROR(VLOOKUP($A51,'Deliverables'!$A:$I,9,FALSE),"")</f>
        <v/>
      </c>
      <c r="K51">
        <f>IFERROR(VLOOKUP($A51,'Deliverables'!$A:$I,10,FALSE),"")</f>
        <v/>
      </c>
      <c r="L51">
        <f>IFERROR(VLOOKUP($A51,'Deliverables'!$A:$I,11,FALSE),"")</f>
        <v/>
      </c>
      <c r="M51" t="inlineStr"/>
      <c r="N51" t="inlineStr"/>
    </row>
    <row r="52">
      <c r="A52" t="inlineStr">
        <is>
          <t>D-032</t>
        </is>
      </c>
      <c r="B52" t="inlineStr">
        <is>
          <t>Deliverable</t>
        </is>
      </c>
      <c r="C52">
        <f>IFERROR(VLOOKUP($A52,'Deliverables'!$A:$I,3,FALSE),"")</f>
        <v/>
      </c>
      <c r="D52">
        <f>IFERROR(VLOOKUP($A52,'Deliverables'!$A:$I,2,FALSE),"")</f>
        <v/>
      </c>
      <c r="E52">
        <f>IFERROR(VLOOKUP($A52,'Deliverables'!$A:$I,6,FALSE),"")</f>
        <v/>
      </c>
      <c r="F52">
        <f>IFERROR(IF(F52="","",G52-F52),"")</f>
        <v/>
      </c>
      <c r="G52">
        <f>IFERROR(VLOOKUP($A52,'Deliverables'!$A:$I,7,FALSE),"")</f>
        <v/>
      </c>
      <c r="H52">
        <f>IFERROR(VLOOKUP($A52,'Deliverables'!$A:$I,8,FALSE),"")</f>
        <v/>
      </c>
      <c r="I52">
        <f>IFERROR(VLOOKUP($A52,'Deliverables'!$A:$I,5,FALSE),"")</f>
        <v/>
      </c>
      <c r="J52">
        <f>IFERROR(VLOOKUP($A52,'Deliverables'!$A:$I,9,FALSE),"")</f>
        <v/>
      </c>
      <c r="K52">
        <f>IFERROR(VLOOKUP($A52,'Deliverables'!$A:$I,10,FALSE),"")</f>
        <v/>
      </c>
      <c r="L52">
        <f>IFERROR(VLOOKUP($A52,'Deliverables'!$A:$I,11,FALSE),"")</f>
        <v/>
      </c>
      <c r="M52" t="inlineStr"/>
      <c r="N52" t="inlineStr"/>
    </row>
    <row r="53">
      <c r="A53" t="inlineStr">
        <is>
          <t>D-033</t>
        </is>
      </c>
      <c r="B53" t="inlineStr">
        <is>
          <t>Deliverable</t>
        </is>
      </c>
      <c r="C53">
        <f>IFERROR(VLOOKUP($A53,'Deliverables'!$A:$I,3,FALSE),"")</f>
        <v/>
      </c>
      <c r="D53">
        <f>IFERROR(VLOOKUP($A53,'Deliverables'!$A:$I,2,FALSE),"")</f>
        <v/>
      </c>
      <c r="E53">
        <f>IFERROR(VLOOKUP($A53,'Deliverables'!$A:$I,6,FALSE),"")</f>
        <v/>
      </c>
      <c r="F53">
        <f>IFERROR(IF(F53="","",G53-F53),"")</f>
        <v/>
      </c>
      <c r="G53">
        <f>IFERROR(VLOOKUP($A53,'Deliverables'!$A:$I,7,FALSE),"")</f>
        <v/>
      </c>
      <c r="H53">
        <f>IFERROR(VLOOKUP($A53,'Deliverables'!$A:$I,8,FALSE),"")</f>
        <v/>
      </c>
      <c r="I53">
        <f>IFERROR(VLOOKUP($A53,'Deliverables'!$A:$I,5,FALSE),"")</f>
        <v/>
      </c>
      <c r="J53">
        <f>IFERROR(VLOOKUP($A53,'Deliverables'!$A:$I,9,FALSE),"")</f>
        <v/>
      </c>
      <c r="K53">
        <f>IFERROR(VLOOKUP($A53,'Deliverables'!$A:$I,10,FALSE),"")</f>
        <v/>
      </c>
      <c r="L53">
        <f>IFERROR(VLOOKUP($A53,'Deliverables'!$A:$I,11,FALSE),"")</f>
        <v/>
      </c>
      <c r="M53" t="inlineStr"/>
      <c r="N53" t="inlineStr"/>
    </row>
    <row r="54">
      <c r="A54" t="inlineStr">
        <is>
          <t>D-034</t>
        </is>
      </c>
      <c r="B54" t="inlineStr">
        <is>
          <t>Deliverable</t>
        </is>
      </c>
      <c r="C54">
        <f>IFERROR(VLOOKUP($A54,'Deliverables'!$A:$I,3,FALSE),"")</f>
        <v/>
      </c>
      <c r="D54">
        <f>IFERROR(VLOOKUP($A54,'Deliverables'!$A:$I,2,FALSE),"")</f>
        <v/>
      </c>
      <c r="E54">
        <f>IFERROR(VLOOKUP($A54,'Deliverables'!$A:$I,6,FALSE),"")</f>
        <v/>
      </c>
      <c r="F54">
        <f>IFERROR(IF(F54="","",G54-F54),"")</f>
        <v/>
      </c>
      <c r="G54">
        <f>IFERROR(VLOOKUP($A54,'Deliverables'!$A:$I,7,FALSE),"")</f>
        <v/>
      </c>
      <c r="H54">
        <f>IFERROR(VLOOKUP($A54,'Deliverables'!$A:$I,8,FALSE),"")</f>
        <v/>
      </c>
      <c r="I54">
        <f>IFERROR(VLOOKUP($A54,'Deliverables'!$A:$I,5,FALSE),"")</f>
        <v/>
      </c>
      <c r="J54">
        <f>IFERROR(VLOOKUP($A54,'Deliverables'!$A:$I,9,FALSE),"")</f>
        <v/>
      </c>
      <c r="K54">
        <f>IFERROR(VLOOKUP($A54,'Deliverables'!$A:$I,10,FALSE),"")</f>
        <v/>
      </c>
      <c r="L54">
        <f>IFERROR(VLOOKUP($A54,'Deliverables'!$A:$I,11,FALSE),"")</f>
        <v/>
      </c>
      <c r="M54" t="inlineStr"/>
      <c r="N54" t="inlineStr"/>
    </row>
    <row r="55">
      <c r="A55" t="inlineStr">
        <is>
          <t>D-035</t>
        </is>
      </c>
      <c r="B55" t="inlineStr">
        <is>
          <t>Deliverable</t>
        </is>
      </c>
      <c r="C55">
        <f>IFERROR(VLOOKUP($A55,'Deliverables'!$A:$I,3,FALSE),"")</f>
        <v/>
      </c>
      <c r="D55">
        <f>IFERROR(VLOOKUP($A55,'Deliverables'!$A:$I,2,FALSE),"")</f>
        <v/>
      </c>
      <c r="E55">
        <f>IFERROR(VLOOKUP($A55,'Deliverables'!$A:$I,6,FALSE),"")</f>
        <v/>
      </c>
      <c r="F55">
        <f>IFERROR(IF(F55="","",G55-F55),"")</f>
        <v/>
      </c>
      <c r="G55">
        <f>IFERROR(VLOOKUP($A55,'Deliverables'!$A:$I,7,FALSE),"")</f>
        <v/>
      </c>
      <c r="H55">
        <f>IFERROR(VLOOKUP($A55,'Deliverables'!$A:$I,8,FALSE),"")</f>
        <v/>
      </c>
      <c r="I55">
        <f>IFERROR(VLOOKUP($A55,'Deliverables'!$A:$I,5,FALSE),"")</f>
        <v/>
      </c>
      <c r="J55">
        <f>IFERROR(VLOOKUP($A55,'Deliverables'!$A:$I,9,FALSE),"")</f>
        <v/>
      </c>
      <c r="K55">
        <f>IFERROR(VLOOKUP($A55,'Deliverables'!$A:$I,10,FALSE),"")</f>
        <v/>
      </c>
      <c r="L55">
        <f>IFERROR(VLOOKUP($A55,'Deliverables'!$A:$I,11,FALSE),"")</f>
        <v/>
      </c>
      <c r="M55" t="inlineStr"/>
      <c r="N55" t="inlineStr"/>
    </row>
    <row r="56">
      <c r="A56" t="inlineStr">
        <is>
          <t>D-036</t>
        </is>
      </c>
      <c r="B56" t="inlineStr">
        <is>
          <t>Deliverable</t>
        </is>
      </c>
      <c r="C56">
        <f>IFERROR(VLOOKUP($A56,'Deliverables'!$A:$I,3,FALSE),"")</f>
        <v/>
      </c>
      <c r="D56">
        <f>IFERROR(VLOOKUP($A56,'Deliverables'!$A:$I,2,FALSE),"")</f>
        <v/>
      </c>
      <c r="E56">
        <f>IFERROR(VLOOKUP($A56,'Deliverables'!$A:$I,6,FALSE),"")</f>
        <v/>
      </c>
      <c r="F56">
        <f>IFERROR(IF(F56="","",G56-F56),"")</f>
        <v/>
      </c>
      <c r="G56">
        <f>IFERROR(VLOOKUP($A56,'Deliverables'!$A:$I,7,FALSE),"")</f>
        <v/>
      </c>
      <c r="H56">
        <f>IFERROR(VLOOKUP($A56,'Deliverables'!$A:$I,8,FALSE),"")</f>
        <v/>
      </c>
      <c r="I56">
        <f>IFERROR(VLOOKUP($A56,'Deliverables'!$A:$I,5,FALSE),"")</f>
        <v/>
      </c>
      <c r="J56">
        <f>IFERROR(VLOOKUP($A56,'Deliverables'!$A:$I,9,FALSE),"")</f>
        <v/>
      </c>
      <c r="K56">
        <f>IFERROR(VLOOKUP($A56,'Deliverables'!$A:$I,10,FALSE),"")</f>
        <v/>
      </c>
      <c r="L56">
        <f>IFERROR(VLOOKUP($A56,'Deliverables'!$A:$I,11,FALSE),"")</f>
        <v/>
      </c>
      <c r="M56" t="inlineStr"/>
      <c r="N56" t="inlineStr"/>
    </row>
    <row r="57">
      <c r="A57" t="inlineStr">
        <is>
          <t>D-037</t>
        </is>
      </c>
      <c r="B57" t="inlineStr">
        <is>
          <t>Deliverable</t>
        </is>
      </c>
      <c r="C57">
        <f>IFERROR(VLOOKUP($A57,'Deliverables'!$A:$I,3,FALSE),"")</f>
        <v/>
      </c>
      <c r="D57">
        <f>IFERROR(VLOOKUP($A57,'Deliverables'!$A:$I,2,FALSE),"")</f>
        <v/>
      </c>
      <c r="E57">
        <f>IFERROR(VLOOKUP($A57,'Deliverables'!$A:$I,6,FALSE),"")</f>
        <v/>
      </c>
      <c r="F57">
        <f>IFERROR(IF(F57="","",G57-F57),"")</f>
        <v/>
      </c>
      <c r="G57">
        <f>IFERROR(VLOOKUP($A57,'Deliverables'!$A:$I,7,FALSE),"")</f>
        <v/>
      </c>
      <c r="H57">
        <f>IFERROR(VLOOKUP($A57,'Deliverables'!$A:$I,8,FALSE),"")</f>
        <v/>
      </c>
      <c r="I57">
        <f>IFERROR(VLOOKUP($A57,'Deliverables'!$A:$I,5,FALSE),"")</f>
        <v/>
      </c>
      <c r="J57">
        <f>IFERROR(VLOOKUP($A57,'Deliverables'!$A:$I,9,FALSE),"")</f>
        <v/>
      </c>
      <c r="K57">
        <f>IFERROR(VLOOKUP($A57,'Deliverables'!$A:$I,10,FALSE),"")</f>
        <v/>
      </c>
      <c r="L57">
        <f>IFERROR(VLOOKUP($A57,'Deliverables'!$A:$I,11,FALSE),"")</f>
        <v/>
      </c>
      <c r="M57" t="inlineStr"/>
      <c r="N57" t="inlineStr"/>
    </row>
    <row r="58">
      <c r="A58" t="inlineStr">
        <is>
          <t>D-038</t>
        </is>
      </c>
      <c r="B58" t="inlineStr">
        <is>
          <t>Deliverable</t>
        </is>
      </c>
      <c r="C58">
        <f>IFERROR(VLOOKUP($A58,'Deliverables'!$A:$I,3,FALSE),"")</f>
        <v/>
      </c>
      <c r="D58">
        <f>IFERROR(VLOOKUP($A58,'Deliverables'!$A:$I,2,FALSE),"")</f>
        <v/>
      </c>
      <c r="E58">
        <f>IFERROR(VLOOKUP($A58,'Deliverables'!$A:$I,6,FALSE),"")</f>
        <v/>
      </c>
      <c r="F58">
        <f>IFERROR(IF(F58="","",G58-F58),"")</f>
        <v/>
      </c>
      <c r="G58">
        <f>IFERROR(VLOOKUP($A58,'Deliverables'!$A:$I,7,FALSE),"")</f>
        <v/>
      </c>
      <c r="H58">
        <f>IFERROR(VLOOKUP($A58,'Deliverables'!$A:$I,8,FALSE),"")</f>
        <v/>
      </c>
      <c r="I58">
        <f>IFERROR(VLOOKUP($A58,'Deliverables'!$A:$I,5,FALSE),"")</f>
        <v/>
      </c>
      <c r="J58">
        <f>IFERROR(VLOOKUP($A58,'Deliverables'!$A:$I,9,FALSE),"")</f>
        <v/>
      </c>
      <c r="K58">
        <f>IFERROR(VLOOKUP($A58,'Deliverables'!$A:$I,10,FALSE),"")</f>
        <v/>
      </c>
      <c r="L58">
        <f>IFERROR(VLOOKUP($A58,'Deliverables'!$A:$I,11,FALSE),"")</f>
        <v/>
      </c>
      <c r="M58" t="inlineStr"/>
      <c r="N58" t="inlineStr"/>
    </row>
    <row r="59">
      <c r="A59" t="inlineStr">
        <is>
          <t>D-039</t>
        </is>
      </c>
      <c r="B59" t="inlineStr">
        <is>
          <t>Deliverable</t>
        </is>
      </c>
      <c r="C59">
        <f>IFERROR(VLOOKUP($A59,'Deliverables'!$A:$I,3,FALSE),"")</f>
        <v/>
      </c>
      <c r="D59">
        <f>IFERROR(VLOOKUP($A59,'Deliverables'!$A:$I,2,FALSE),"")</f>
        <v/>
      </c>
      <c r="E59">
        <f>IFERROR(VLOOKUP($A59,'Deliverables'!$A:$I,6,FALSE),"")</f>
        <v/>
      </c>
      <c r="F59">
        <f>IFERROR(IF(F59="","",G59-F59),"")</f>
        <v/>
      </c>
      <c r="G59">
        <f>IFERROR(VLOOKUP($A59,'Deliverables'!$A:$I,7,FALSE),"")</f>
        <v/>
      </c>
      <c r="H59">
        <f>IFERROR(VLOOKUP($A59,'Deliverables'!$A:$I,8,FALSE),"")</f>
        <v/>
      </c>
      <c r="I59">
        <f>IFERROR(VLOOKUP($A59,'Deliverables'!$A:$I,5,FALSE),"")</f>
        <v/>
      </c>
      <c r="J59">
        <f>IFERROR(VLOOKUP($A59,'Deliverables'!$A:$I,9,FALSE),"")</f>
        <v/>
      </c>
      <c r="K59">
        <f>IFERROR(VLOOKUP($A59,'Deliverables'!$A:$I,10,FALSE),"")</f>
        <v/>
      </c>
      <c r="L59">
        <f>IFERROR(VLOOKUP($A59,'Deliverables'!$A:$I,11,FALSE),"")</f>
        <v/>
      </c>
      <c r="M59" t="inlineStr"/>
      <c r="N59" t="inlineStr"/>
    </row>
    <row r="60">
      <c r="A60" t="inlineStr">
        <is>
          <t>D-040</t>
        </is>
      </c>
      <c r="B60" t="inlineStr">
        <is>
          <t>Deliverable</t>
        </is>
      </c>
      <c r="C60">
        <f>IFERROR(VLOOKUP($A60,'Deliverables'!$A:$I,3,FALSE),"")</f>
        <v/>
      </c>
      <c r="D60">
        <f>IFERROR(VLOOKUP($A60,'Deliverables'!$A:$I,2,FALSE),"")</f>
        <v/>
      </c>
      <c r="E60">
        <f>IFERROR(VLOOKUP($A60,'Deliverables'!$A:$I,6,FALSE),"")</f>
        <v/>
      </c>
      <c r="F60">
        <f>IFERROR(IF(F60="","",G60-F60),"")</f>
        <v/>
      </c>
      <c r="G60">
        <f>IFERROR(VLOOKUP($A60,'Deliverables'!$A:$I,7,FALSE),"")</f>
        <v/>
      </c>
      <c r="H60">
        <f>IFERROR(VLOOKUP($A60,'Deliverables'!$A:$I,8,FALSE),"")</f>
        <v/>
      </c>
      <c r="I60">
        <f>IFERROR(VLOOKUP($A60,'Deliverables'!$A:$I,5,FALSE),"")</f>
        <v/>
      </c>
      <c r="J60">
        <f>IFERROR(VLOOKUP($A60,'Deliverables'!$A:$I,9,FALSE),"")</f>
        <v/>
      </c>
      <c r="K60">
        <f>IFERROR(VLOOKUP($A60,'Deliverables'!$A:$I,10,FALSE),"")</f>
        <v/>
      </c>
      <c r="L60">
        <f>IFERROR(VLOOKUP($A60,'Deliverables'!$A:$I,11,FALSE),"")</f>
        <v/>
      </c>
      <c r="M60" t="inlineStr"/>
      <c r="N60" t="inlineStr"/>
    </row>
    <row r="61">
      <c r="A61" t="inlineStr">
        <is>
          <t>D-041</t>
        </is>
      </c>
      <c r="B61" t="inlineStr">
        <is>
          <t>Deliverable</t>
        </is>
      </c>
      <c r="C61">
        <f>IFERROR(VLOOKUP($A61,'Deliverables'!$A:$I,3,FALSE),"")</f>
        <v/>
      </c>
      <c r="D61">
        <f>IFERROR(VLOOKUP($A61,'Deliverables'!$A:$I,2,FALSE),"")</f>
        <v/>
      </c>
      <c r="E61">
        <f>IFERROR(VLOOKUP($A61,'Deliverables'!$A:$I,6,FALSE),"")</f>
        <v/>
      </c>
      <c r="F61">
        <f>IFERROR(IF(F61="","",G61-F61),"")</f>
        <v/>
      </c>
      <c r="G61">
        <f>IFERROR(VLOOKUP($A61,'Deliverables'!$A:$I,7,FALSE),"")</f>
        <v/>
      </c>
      <c r="H61">
        <f>IFERROR(VLOOKUP($A61,'Deliverables'!$A:$I,8,FALSE),"")</f>
        <v/>
      </c>
      <c r="I61">
        <f>IFERROR(VLOOKUP($A61,'Deliverables'!$A:$I,5,FALSE),"")</f>
        <v/>
      </c>
      <c r="J61">
        <f>IFERROR(VLOOKUP($A61,'Deliverables'!$A:$I,9,FALSE),"")</f>
        <v/>
      </c>
      <c r="K61">
        <f>IFERROR(VLOOKUP($A61,'Deliverables'!$A:$I,10,FALSE),"")</f>
        <v/>
      </c>
      <c r="L61">
        <f>IFERROR(VLOOKUP($A61,'Deliverables'!$A:$I,11,FALSE),"")</f>
        <v/>
      </c>
      <c r="M61" t="inlineStr"/>
      <c r="N61" t="inlineStr"/>
    </row>
    <row r="62">
      <c r="A62" t="inlineStr">
        <is>
          <t>D-042</t>
        </is>
      </c>
      <c r="B62" t="inlineStr">
        <is>
          <t>Deliverable</t>
        </is>
      </c>
      <c r="C62">
        <f>IFERROR(VLOOKUP($A62,'Deliverables'!$A:$I,3,FALSE),"")</f>
        <v/>
      </c>
      <c r="D62">
        <f>IFERROR(VLOOKUP($A62,'Deliverables'!$A:$I,2,FALSE),"")</f>
        <v/>
      </c>
      <c r="E62">
        <f>IFERROR(VLOOKUP($A62,'Deliverables'!$A:$I,6,FALSE),"")</f>
        <v/>
      </c>
      <c r="F62">
        <f>IFERROR(IF(F62="","",G62-F62),"")</f>
        <v/>
      </c>
      <c r="G62">
        <f>IFERROR(VLOOKUP($A62,'Deliverables'!$A:$I,7,FALSE),"")</f>
        <v/>
      </c>
      <c r="H62">
        <f>IFERROR(VLOOKUP($A62,'Deliverables'!$A:$I,8,FALSE),"")</f>
        <v/>
      </c>
      <c r="I62">
        <f>IFERROR(VLOOKUP($A62,'Deliverables'!$A:$I,5,FALSE),"")</f>
        <v/>
      </c>
      <c r="J62">
        <f>IFERROR(VLOOKUP($A62,'Deliverables'!$A:$I,9,FALSE),"")</f>
        <v/>
      </c>
      <c r="K62">
        <f>IFERROR(VLOOKUP($A62,'Deliverables'!$A:$I,10,FALSE),"")</f>
        <v/>
      </c>
      <c r="L62">
        <f>IFERROR(VLOOKUP($A62,'Deliverables'!$A:$I,11,FALSE),"")</f>
        <v/>
      </c>
      <c r="M62" t="inlineStr"/>
      <c r="N62" t="inlineStr"/>
    </row>
    <row r="63">
      <c r="A63" t="inlineStr">
        <is>
          <t>D-043</t>
        </is>
      </c>
      <c r="B63" t="inlineStr">
        <is>
          <t>Deliverable</t>
        </is>
      </c>
      <c r="C63">
        <f>IFERROR(VLOOKUP($A63,'Deliverables'!$A:$I,3,FALSE),"")</f>
        <v/>
      </c>
      <c r="D63">
        <f>IFERROR(VLOOKUP($A63,'Deliverables'!$A:$I,2,FALSE),"")</f>
        <v/>
      </c>
      <c r="E63">
        <f>IFERROR(VLOOKUP($A63,'Deliverables'!$A:$I,6,FALSE),"")</f>
        <v/>
      </c>
      <c r="F63">
        <f>IFERROR(IF(F63="","",G63-F63),"")</f>
        <v/>
      </c>
      <c r="G63">
        <f>IFERROR(VLOOKUP($A63,'Deliverables'!$A:$I,7,FALSE),"")</f>
        <v/>
      </c>
      <c r="H63">
        <f>IFERROR(VLOOKUP($A63,'Deliverables'!$A:$I,8,FALSE),"")</f>
        <v/>
      </c>
      <c r="I63">
        <f>IFERROR(VLOOKUP($A63,'Deliverables'!$A:$I,5,FALSE),"")</f>
        <v/>
      </c>
      <c r="J63">
        <f>IFERROR(VLOOKUP($A63,'Deliverables'!$A:$I,9,FALSE),"")</f>
        <v/>
      </c>
      <c r="K63">
        <f>IFERROR(VLOOKUP($A63,'Deliverables'!$A:$I,10,FALSE),"")</f>
        <v/>
      </c>
      <c r="L63">
        <f>IFERROR(VLOOKUP($A63,'Deliverables'!$A:$I,11,FALSE),"")</f>
        <v/>
      </c>
      <c r="M63" t="inlineStr"/>
      <c r="N63" t="inlineStr"/>
    </row>
    <row r="64">
      <c r="A64" t="inlineStr">
        <is>
          <t>D-044</t>
        </is>
      </c>
      <c r="B64" t="inlineStr">
        <is>
          <t>Deliverable</t>
        </is>
      </c>
      <c r="C64">
        <f>IFERROR(VLOOKUP($A64,'Deliverables'!$A:$I,3,FALSE),"")</f>
        <v/>
      </c>
      <c r="D64">
        <f>IFERROR(VLOOKUP($A64,'Deliverables'!$A:$I,2,FALSE),"")</f>
        <v/>
      </c>
      <c r="E64">
        <f>IFERROR(VLOOKUP($A64,'Deliverables'!$A:$I,6,FALSE),"")</f>
        <v/>
      </c>
      <c r="F64">
        <f>IFERROR(IF(F64="","",G64-F64),"")</f>
        <v/>
      </c>
      <c r="G64">
        <f>IFERROR(VLOOKUP($A64,'Deliverables'!$A:$I,7,FALSE),"")</f>
        <v/>
      </c>
      <c r="H64">
        <f>IFERROR(VLOOKUP($A64,'Deliverables'!$A:$I,8,FALSE),"")</f>
        <v/>
      </c>
      <c r="I64">
        <f>IFERROR(VLOOKUP($A64,'Deliverables'!$A:$I,5,FALSE),"")</f>
        <v/>
      </c>
      <c r="J64">
        <f>IFERROR(VLOOKUP($A64,'Deliverables'!$A:$I,9,FALSE),"")</f>
        <v/>
      </c>
      <c r="K64">
        <f>IFERROR(VLOOKUP($A64,'Deliverables'!$A:$I,10,FALSE),"")</f>
        <v/>
      </c>
      <c r="L64">
        <f>IFERROR(VLOOKUP($A64,'Deliverables'!$A:$I,11,FALSE),"")</f>
        <v/>
      </c>
      <c r="M64" t="inlineStr"/>
      <c r="N64" t="inlineStr"/>
    </row>
    <row r="65">
      <c r="A65" t="inlineStr">
        <is>
          <t>D-045</t>
        </is>
      </c>
      <c r="B65" t="inlineStr">
        <is>
          <t>Deliverable</t>
        </is>
      </c>
      <c r="C65">
        <f>IFERROR(VLOOKUP($A65,'Deliverables'!$A:$I,3,FALSE),"")</f>
        <v/>
      </c>
      <c r="D65">
        <f>IFERROR(VLOOKUP($A65,'Deliverables'!$A:$I,2,FALSE),"")</f>
        <v/>
      </c>
      <c r="E65">
        <f>IFERROR(VLOOKUP($A65,'Deliverables'!$A:$I,6,FALSE),"")</f>
        <v/>
      </c>
      <c r="F65">
        <f>IFERROR(IF(F65="","",G65-F65),"")</f>
        <v/>
      </c>
      <c r="G65">
        <f>IFERROR(VLOOKUP($A65,'Deliverables'!$A:$I,7,FALSE),"")</f>
        <v/>
      </c>
      <c r="H65">
        <f>IFERROR(VLOOKUP($A65,'Deliverables'!$A:$I,8,FALSE),"")</f>
        <v/>
      </c>
      <c r="I65">
        <f>IFERROR(VLOOKUP($A65,'Deliverables'!$A:$I,5,FALSE),"")</f>
        <v/>
      </c>
      <c r="J65">
        <f>IFERROR(VLOOKUP($A65,'Deliverables'!$A:$I,9,FALSE),"")</f>
        <v/>
      </c>
      <c r="K65">
        <f>IFERROR(VLOOKUP($A65,'Deliverables'!$A:$I,10,FALSE),"")</f>
        <v/>
      </c>
      <c r="L65">
        <f>IFERROR(VLOOKUP($A65,'Deliverables'!$A:$I,11,FALSE),"")</f>
        <v/>
      </c>
      <c r="M65" t="inlineStr"/>
      <c r="N65" t="inlineStr"/>
    </row>
    <row r="66">
      <c r="A66" t="inlineStr">
        <is>
          <t>D-046</t>
        </is>
      </c>
      <c r="B66" t="inlineStr">
        <is>
          <t>Deliverable</t>
        </is>
      </c>
      <c r="C66">
        <f>IFERROR(VLOOKUP($A66,'Deliverables'!$A:$I,3,FALSE),"")</f>
        <v/>
      </c>
      <c r="D66">
        <f>IFERROR(VLOOKUP($A66,'Deliverables'!$A:$I,2,FALSE),"")</f>
        <v/>
      </c>
      <c r="E66">
        <f>IFERROR(VLOOKUP($A66,'Deliverables'!$A:$I,6,FALSE),"")</f>
        <v/>
      </c>
      <c r="F66">
        <f>IFERROR(IF(F66="","",G66-F66),"")</f>
        <v/>
      </c>
      <c r="G66">
        <f>IFERROR(VLOOKUP($A66,'Deliverables'!$A:$I,7,FALSE),"")</f>
        <v/>
      </c>
      <c r="H66">
        <f>IFERROR(VLOOKUP($A66,'Deliverables'!$A:$I,8,FALSE),"")</f>
        <v/>
      </c>
      <c r="I66">
        <f>IFERROR(VLOOKUP($A66,'Deliverables'!$A:$I,5,FALSE),"")</f>
        <v/>
      </c>
      <c r="J66">
        <f>IFERROR(VLOOKUP($A66,'Deliverables'!$A:$I,9,FALSE),"")</f>
        <v/>
      </c>
      <c r="K66">
        <f>IFERROR(VLOOKUP($A66,'Deliverables'!$A:$I,10,FALSE),"")</f>
        <v/>
      </c>
      <c r="L66">
        <f>IFERROR(VLOOKUP($A66,'Deliverables'!$A:$I,11,FALSE),"")</f>
        <v/>
      </c>
      <c r="M66" t="inlineStr"/>
      <c r="N66" t="inlineStr"/>
    </row>
    <row r="67">
      <c r="A67" t="inlineStr">
        <is>
          <t>D-047</t>
        </is>
      </c>
      <c r="B67" t="inlineStr">
        <is>
          <t>Deliverable</t>
        </is>
      </c>
      <c r="C67">
        <f>IFERROR(VLOOKUP($A67,'Deliverables'!$A:$I,3,FALSE),"")</f>
        <v/>
      </c>
      <c r="D67">
        <f>IFERROR(VLOOKUP($A67,'Deliverables'!$A:$I,2,FALSE),"")</f>
        <v/>
      </c>
      <c r="E67">
        <f>IFERROR(VLOOKUP($A67,'Deliverables'!$A:$I,6,FALSE),"")</f>
        <v/>
      </c>
      <c r="F67">
        <f>IFERROR(IF(F67="","",G67-F67),"")</f>
        <v/>
      </c>
      <c r="G67">
        <f>IFERROR(VLOOKUP($A67,'Deliverables'!$A:$I,7,FALSE),"")</f>
        <v/>
      </c>
      <c r="H67">
        <f>IFERROR(VLOOKUP($A67,'Deliverables'!$A:$I,8,FALSE),"")</f>
        <v/>
      </c>
      <c r="I67">
        <f>IFERROR(VLOOKUP($A67,'Deliverables'!$A:$I,5,FALSE),"")</f>
        <v/>
      </c>
      <c r="J67">
        <f>IFERROR(VLOOKUP($A67,'Deliverables'!$A:$I,9,FALSE),"")</f>
        <v/>
      </c>
      <c r="K67">
        <f>IFERROR(VLOOKUP($A67,'Deliverables'!$A:$I,10,FALSE),"")</f>
        <v/>
      </c>
      <c r="L67">
        <f>IFERROR(VLOOKUP($A67,'Deliverables'!$A:$I,11,FALSE),"")</f>
        <v/>
      </c>
      <c r="M67" t="inlineStr"/>
      <c r="N67" t="inlineStr"/>
    </row>
    <row r="68">
      <c r="A68" t="inlineStr">
        <is>
          <t>D-048</t>
        </is>
      </c>
      <c r="B68" t="inlineStr">
        <is>
          <t>Deliverable</t>
        </is>
      </c>
      <c r="C68">
        <f>IFERROR(VLOOKUP($A68,'Deliverables'!$A:$I,3,FALSE),"")</f>
        <v/>
      </c>
      <c r="D68">
        <f>IFERROR(VLOOKUP($A68,'Deliverables'!$A:$I,2,FALSE),"")</f>
        <v/>
      </c>
      <c r="E68">
        <f>IFERROR(VLOOKUP($A68,'Deliverables'!$A:$I,6,FALSE),"")</f>
        <v/>
      </c>
      <c r="F68">
        <f>IFERROR(IF(F68="","",G68-F68),"")</f>
        <v/>
      </c>
      <c r="G68">
        <f>IFERROR(VLOOKUP($A68,'Deliverables'!$A:$I,7,FALSE),"")</f>
        <v/>
      </c>
      <c r="H68">
        <f>IFERROR(VLOOKUP($A68,'Deliverables'!$A:$I,8,FALSE),"")</f>
        <v/>
      </c>
      <c r="I68">
        <f>IFERROR(VLOOKUP($A68,'Deliverables'!$A:$I,5,FALSE),"")</f>
        <v/>
      </c>
      <c r="J68">
        <f>IFERROR(VLOOKUP($A68,'Deliverables'!$A:$I,9,FALSE),"")</f>
        <v/>
      </c>
      <c r="K68">
        <f>IFERROR(VLOOKUP($A68,'Deliverables'!$A:$I,10,FALSE),"")</f>
        <v/>
      </c>
      <c r="L68">
        <f>IFERROR(VLOOKUP($A68,'Deliverables'!$A:$I,11,FALSE),"")</f>
        <v/>
      </c>
      <c r="M68" t="inlineStr"/>
      <c r="N68" t="inlineStr"/>
    </row>
    <row r="69">
      <c r="A69" t="inlineStr">
        <is>
          <t>D-049</t>
        </is>
      </c>
      <c r="B69" t="inlineStr">
        <is>
          <t>Deliverable</t>
        </is>
      </c>
      <c r="C69">
        <f>IFERROR(VLOOKUP($A69,'Deliverables'!$A:$I,3,FALSE),"")</f>
        <v/>
      </c>
      <c r="D69">
        <f>IFERROR(VLOOKUP($A69,'Deliverables'!$A:$I,2,FALSE),"")</f>
        <v/>
      </c>
      <c r="E69">
        <f>IFERROR(VLOOKUP($A69,'Deliverables'!$A:$I,6,FALSE),"")</f>
        <v/>
      </c>
      <c r="F69">
        <f>IFERROR(IF(F69="","",G69-F69),"")</f>
        <v/>
      </c>
      <c r="G69">
        <f>IFERROR(VLOOKUP($A69,'Deliverables'!$A:$I,7,FALSE),"")</f>
        <v/>
      </c>
      <c r="H69">
        <f>IFERROR(VLOOKUP($A69,'Deliverables'!$A:$I,8,FALSE),"")</f>
        <v/>
      </c>
      <c r="I69">
        <f>IFERROR(VLOOKUP($A69,'Deliverables'!$A:$I,5,FALSE),"")</f>
        <v/>
      </c>
      <c r="J69">
        <f>IFERROR(VLOOKUP($A69,'Deliverables'!$A:$I,9,FALSE),"")</f>
        <v/>
      </c>
      <c r="K69">
        <f>IFERROR(VLOOKUP($A69,'Deliverables'!$A:$I,10,FALSE),"")</f>
        <v/>
      </c>
      <c r="L69">
        <f>IFERROR(VLOOKUP($A69,'Deliverables'!$A:$I,11,FALSE),"")</f>
        <v/>
      </c>
      <c r="M69" t="inlineStr"/>
      <c r="N69" t="inlineStr"/>
    </row>
    <row r="70">
      <c r="A70" t="inlineStr">
        <is>
          <t>D-050</t>
        </is>
      </c>
      <c r="B70" t="inlineStr">
        <is>
          <t>Deliverable</t>
        </is>
      </c>
      <c r="C70">
        <f>IFERROR(VLOOKUP($A70,'Deliverables'!$A:$I,3,FALSE),"")</f>
        <v/>
      </c>
      <c r="D70">
        <f>IFERROR(VLOOKUP($A70,'Deliverables'!$A:$I,2,FALSE),"")</f>
        <v/>
      </c>
      <c r="E70">
        <f>IFERROR(VLOOKUP($A70,'Deliverables'!$A:$I,6,FALSE),"")</f>
        <v/>
      </c>
      <c r="F70">
        <f>IFERROR(IF(F70="","",G70-F70),"")</f>
        <v/>
      </c>
      <c r="G70">
        <f>IFERROR(VLOOKUP($A70,'Deliverables'!$A:$I,7,FALSE),"")</f>
        <v/>
      </c>
      <c r="H70">
        <f>IFERROR(VLOOKUP($A70,'Deliverables'!$A:$I,8,FALSE),"")</f>
        <v/>
      </c>
      <c r="I70">
        <f>IFERROR(VLOOKUP($A70,'Deliverables'!$A:$I,5,FALSE),"")</f>
        <v/>
      </c>
      <c r="J70">
        <f>IFERROR(VLOOKUP($A70,'Deliverables'!$A:$I,9,FALSE),"")</f>
        <v/>
      </c>
      <c r="K70">
        <f>IFERROR(VLOOKUP($A70,'Deliverables'!$A:$I,10,FALSE),"")</f>
        <v/>
      </c>
      <c r="L70">
        <f>IFERROR(VLOOKUP($A70,'Deliverables'!$A:$I,11,FALSE),"")</f>
        <v/>
      </c>
      <c r="M70" t="inlineStr"/>
      <c r="N70" t="inlineStr"/>
    </row>
    <row r="71">
      <c r="A71" t="inlineStr">
        <is>
          <t>D-051</t>
        </is>
      </c>
      <c r="B71" t="inlineStr">
        <is>
          <t>Deliverable</t>
        </is>
      </c>
      <c r="C71">
        <f>IFERROR(VLOOKUP($A71,'Deliverables'!$A:$I,3,FALSE),"")</f>
        <v/>
      </c>
      <c r="D71">
        <f>IFERROR(VLOOKUP($A71,'Deliverables'!$A:$I,2,FALSE),"")</f>
        <v/>
      </c>
      <c r="E71">
        <f>IFERROR(VLOOKUP($A71,'Deliverables'!$A:$I,6,FALSE),"")</f>
        <v/>
      </c>
      <c r="F71">
        <f>IFERROR(IF(F71="","",G71-F71),"")</f>
        <v/>
      </c>
      <c r="G71">
        <f>IFERROR(VLOOKUP($A71,'Deliverables'!$A:$I,7,FALSE),"")</f>
        <v/>
      </c>
      <c r="H71">
        <f>IFERROR(VLOOKUP($A71,'Deliverables'!$A:$I,8,FALSE),"")</f>
        <v/>
      </c>
      <c r="I71">
        <f>IFERROR(VLOOKUP($A71,'Deliverables'!$A:$I,5,FALSE),"")</f>
        <v/>
      </c>
      <c r="J71">
        <f>IFERROR(VLOOKUP($A71,'Deliverables'!$A:$I,9,FALSE),"")</f>
        <v/>
      </c>
      <c r="K71">
        <f>IFERROR(VLOOKUP($A71,'Deliverables'!$A:$I,10,FALSE),"")</f>
        <v/>
      </c>
      <c r="L71">
        <f>IFERROR(VLOOKUP($A71,'Deliverables'!$A:$I,11,FALSE),"")</f>
        <v/>
      </c>
      <c r="M71" t="inlineStr"/>
      <c r="N71" t="inlineStr"/>
    </row>
    <row r="72">
      <c r="A72" t="inlineStr">
        <is>
          <t>D-052</t>
        </is>
      </c>
      <c r="B72" t="inlineStr">
        <is>
          <t>Deliverable</t>
        </is>
      </c>
      <c r="C72">
        <f>IFERROR(VLOOKUP($A72,'Deliverables'!$A:$I,3,FALSE),"")</f>
        <v/>
      </c>
      <c r="D72">
        <f>IFERROR(VLOOKUP($A72,'Deliverables'!$A:$I,2,FALSE),"")</f>
        <v/>
      </c>
      <c r="E72">
        <f>IFERROR(VLOOKUP($A72,'Deliverables'!$A:$I,6,FALSE),"")</f>
        <v/>
      </c>
      <c r="F72">
        <f>IFERROR(IF(F72="","",G72-F72),"")</f>
        <v/>
      </c>
      <c r="G72">
        <f>IFERROR(VLOOKUP($A72,'Deliverables'!$A:$I,7,FALSE),"")</f>
        <v/>
      </c>
      <c r="H72">
        <f>IFERROR(VLOOKUP($A72,'Deliverables'!$A:$I,8,FALSE),"")</f>
        <v/>
      </c>
      <c r="I72">
        <f>IFERROR(VLOOKUP($A72,'Deliverables'!$A:$I,5,FALSE),"")</f>
        <v/>
      </c>
      <c r="J72">
        <f>IFERROR(VLOOKUP($A72,'Deliverables'!$A:$I,9,FALSE),"")</f>
        <v/>
      </c>
      <c r="K72">
        <f>IFERROR(VLOOKUP($A72,'Deliverables'!$A:$I,10,FALSE),"")</f>
        <v/>
      </c>
      <c r="L72">
        <f>IFERROR(VLOOKUP($A72,'Deliverables'!$A:$I,11,FALSE),"")</f>
        <v/>
      </c>
      <c r="M72" t="inlineStr"/>
      <c r="N72" t="inlineStr"/>
    </row>
    <row r="73">
      <c r="A73" t="inlineStr">
        <is>
          <t>D-053</t>
        </is>
      </c>
      <c r="B73" t="inlineStr">
        <is>
          <t>Deliverable</t>
        </is>
      </c>
      <c r="C73">
        <f>IFERROR(VLOOKUP($A73,'Deliverables'!$A:$I,3,FALSE),"")</f>
        <v/>
      </c>
      <c r="D73">
        <f>IFERROR(VLOOKUP($A73,'Deliverables'!$A:$I,2,FALSE),"")</f>
        <v/>
      </c>
      <c r="E73">
        <f>IFERROR(VLOOKUP($A73,'Deliverables'!$A:$I,6,FALSE),"")</f>
        <v/>
      </c>
      <c r="F73">
        <f>IFERROR(IF(F73="","",G73-F73),"")</f>
        <v/>
      </c>
      <c r="G73">
        <f>IFERROR(VLOOKUP($A73,'Deliverables'!$A:$I,7,FALSE),"")</f>
        <v/>
      </c>
      <c r="H73">
        <f>IFERROR(VLOOKUP($A73,'Deliverables'!$A:$I,8,FALSE),"")</f>
        <v/>
      </c>
      <c r="I73">
        <f>IFERROR(VLOOKUP($A73,'Deliverables'!$A:$I,5,FALSE),"")</f>
        <v/>
      </c>
      <c r="J73">
        <f>IFERROR(VLOOKUP($A73,'Deliverables'!$A:$I,9,FALSE),"")</f>
        <v/>
      </c>
      <c r="K73">
        <f>IFERROR(VLOOKUP($A73,'Deliverables'!$A:$I,10,FALSE),"")</f>
        <v/>
      </c>
      <c r="L73">
        <f>IFERROR(VLOOKUP($A73,'Deliverables'!$A:$I,11,FALSE),"")</f>
        <v/>
      </c>
      <c r="M73" t="inlineStr"/>
      <c r="N73" t="inlineStr"/>
    </row>
    <row r="74">
      <c r="A74" t="inlineStr">
        <is>
          <t>D-054</t>
        </is>
      </c>
      <c r="B74" t="inlineStr">
        <is>
          <t>Deliverable</t>
        </is>
      </c>
      <c r="C74">
        <f>IFERROR(VLOOKUP($A74,'Deliverables'!$A:$I,3,FALSE),"")</f>
        <v/>
      </c>
      <c r="D74">
        <f>IFERROR(VLOOKUP($A74,'Deliverables'!$A:$I,2,FALSE),"")</f>
        <v/>
      </c>
      <c r="E74">
        <f>IFERROR(VLOOKUP($A74,'Deliverables'!$A:$I,6,FALSE),"")</f>
        <v/>
      </c>
      <c r="F74">
        <f>IFERROR(IF(F74="","",G74-F74),"")</f>
        <v/>
      </c>
      <c r="G74">
        <f>IFERROR(VLOOKUP($A74,'Deliverables'!$A:$I,7,FALSE),"")</f>
        <v/>
      </c>
      <c r="H74">
        <f>IFERROR(VLOOKUP($A74,'Deliverables'!$A:$I,8,FALSE),"")</f>
        <v/>
      </c>
      <c r="I74">
        <f>IFERROR(VLOOKUP($A74,'Deliverables'!$A:$I,5,FALSE),"")</f>
        <v/>
      </c>
      <c r="J74">
        <f>IFERROR(VLOOKUP($A74,'Deliverables'!$A:$I,9,FALSE),"")</f>
        <v/>
      </c>
      <c r="K74">
        <f>IFERROR(VLOOKUP($A74,'Deliverables'!$A:$I,10,FALSE),"")</f>
        <v/>
      </c>
      <c r="L74">
        <f>IFERROR(VLOOKUP($A74,'Deliverables'!$A:$I,11,FALSE),"")</f>
        <v/>
      </c>
      <c r="M74" t="inlineStr"/>
      <c r="N74" t="inlineStr"/>
    </row>
  </sheetData>
  <dataValidations count="1">
    <dataValidation sqref="B2:B1000" showDropDown="0" showInputMessage="0" showErrorMessage="0" allowBlank="1" errorTitle="Invalid Value" error="Please select from: Project, Task, Deliverable" type="list">
      <formula1>"Project,Task,Deliverable"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EFF8"/>
    <outlinePr summaryBelow="1" summaryRight="1"/>
    <pageSetUpPr/>
  </sheetPr>
  <dimension ref="A1:R74"/>
  <sheetViews>
    <sheetView zoomScale="115" zoomScaleNormal="115" workbookViewId="0">
      <pane xSplit="5" ySplit="1" topLeftCell="F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D51" sqref="D51"/>
    </sheetView>
  </sheetViews>
  <sheetFormatPr baseColWidth="8" defaultRowHeight="14.5"/>
  <cols>
    <col width="14" customWidth="1" style="6" min="1" max="1"/>
    <col width="30" customWidth="1" style="6" min="2" max="2"/>
    <col width="14" bestFit="1" customWidth="1" style="6" min="3" max="3"/>
    <col width="14" bestFit="1" customWidth="1" style="6" min="4" max="4"/>
    <col width="14" customWidth="1" style="6" min="5" max="5"/>
    <col width="4" customWidth="1" style="6" min="6" max="18"/>
    <col width="4" customWidth="1" style="6" min="7" max="7"/>
    <col width="4" customWidth="1" style="6" min="8" max="8"/>
    <col width="4" customWidth="1" style="6" min="9" max="9"/>
    <col width="4" customWidth="1" style="6" min="10" max="10"/>
    <col width="4" customWidth="1" style="6" min="11" max="11"/>
    <col width="4" customWidth="1" style="6" min="12" max="12"/>
    <col width="4" customWidth="1" style="6" min="13" max="13"/>
    <col width="4" customWidth="1" style="6" min="14" max="14"/>
    <col width="4" customWidth="1" style="6" min="15" max="15"/>
    <col width="4" customWidth="1" style="6" min="16" max="16"/>
    <col width="4" customWidth="1" style="6" min="17" max="17"/>
    <col width="4" customWidth="1" style="6" min="18" max="18"/>
  </cols>
  <sheetData>
    <row r="1" ht="69.5" customHeight="1" s="6">
      <c r="A1" s="22" t="inlineStr">
        <is>
          <t>Item ID</t>
        </is>
      </c>
      <c r="B1" s="22" t="inlineStr">
        <is>
          <t>Title</t>
        </is>
      </c>
      <c r="C1" s="22" t="inlineStr">
        <is>
          <t>Start</t>
        </is>
      </c>
      <c r="D1" s="22" t="inlineStr">
        <is>
          <t>End</t>
        </is>
      </c>
      <c r="E1" s="22" t="inlineStr">
        <is>
          <t>Status</t>
        </is>
      </c>
      <c r="F1" s="23" t="n">
        <v>46098</v>
      </c>
      <c r="G1" s="23" t="n">
        <v>46105</v>
      </c>
      <c r="H1" s="23" t="n">
        <v>46112</v>
      </c>
      <c r="I1" s="23" t="n">
        <v>46119</v>
      </c>
      <c r="J1" s="23" t="n">
        <v>46126</v>
      </c>
      <c r="K1" s="23" t="n">
        <v>46133</v>
      </c>
      <c r="L1" s="23" t="n">
        <v>46140</v>
      </c>
      <c r="M1" s="23" t="n">
        <v>46147</v>
      </c>
      <c r="N1" s="23" t="n">
        <v>46154</v>
      </c>
      <c r="O1" s="23" t="n">
        <v>46161</v>
      </c>
      <c r="P1" s="23" t="n">
        <v>46168</v>
      </c>
      <c r="Q1" s="23" t="n">
        <v>46175</v>
      </c>
      <c r="R1" s="23" t="n">
        <v>46182</v>
      </c>
    </row>
    <row r="2">
      <c r="A2" t="inlineStr">
        <is>
          <t>P-001</t>
        </is>
      </c>
      <c r="B2">
        <f>IFERROR(VLOOKUP($A2,'Timelines'!$A:$K,3,FALSE),"")</f>
        <v/>
      </c>
      <c r="C2">
        <f>IFERROR(VLOOKUP($A2,'Timelines'!$A:$K,5,FALSE),"")</f>
        <v/>
      </c>
      <c r="D2">
        <f>IFERROR(VLOOKUP($A2,'Timelines'!$A:$K,7,FALSE),"")</f>
        <v/>
      </c>
      <c r="E2">
        <f>IFERROR(VLOOKUP($A2,'Timelines'!$A:$K,9,FALSE),"")</f>
        <v/>
      </c>
    </row>
    <row r="3">
      <c r="A3" t="inlineStr">
        <is>
          <t>P-002</t>
        </is>
      </c>
      <c r="B3">
        <f>IFERROR(VLOOKUP($A3,'Timelines'!$A:$K,3,FALSE),"")</f>
        <v/>
      </c>
      <c r="C3">
        <f>IFERROR(VLOOKUP($A3,'Timelines'!$A:$K,5,FALSE),"")</f>
        <v/>
      </c>
      <c r="D3">
        <f>IFERROR(VLOOKUP($A3,'Timelines'!$A:$K,7,FALSE),"")</f>
        <v/>
      </c>
      <c r="E3">
        <f>IFERROR(VLOOKUP($A3,'Timelines'!$A:$K,9,FALSE),"")</f>
        <v/>
      </c>
    </row>
    <row r="4">
      <c r="A4" t="inlineStr">
        <is>
          <t>P-003</t>
        </is>
      </c>
      <c r="B4">
        <f>IFERROR(VLOOKUP($A4,'Timelines'!$A:$K,3,FALSE),"")</f>
        <v/>
      </c>
      <c r="C4">
        <f>IFERROR(VLOOKUP($A4,'Timelines'!$A:$K,5,FALSE),"")</f>
        <v/>
      </c>
      <c r="D4">
        <f>IFERROR(VLOOKUP($A4,'Timelines'!$A:$K,7,FALSE),"")</f>
        <v/>
      </c>
      <c r="E4">
        <f>IFERROR(VLOOKUP($A4,'Timelines'!$A:$K,9,FALSE),"")</f>
        <v/>
      </c>
    </row>
    <row r="5">
      <c r="A5" t="inlineStr">
        <is>
          <t>P-004</t>
        </is>
      </c>
      <c r="B5">
        <f>IFERROR(VLOOKUP($A5,'Timelines'!$A:$K,3,FALSE),"")</f>
        <v/>
      </c>
      <c r="C5">
        <f>IFERROR(VLOOKUP($A5,'Timelines'!$A:$K,5,FALSE),"")</f>
        <v/>
      </c>
      <c r="D5">
        <f>IFERROR(VLOOKUP($A5,'Timelines'!$A:$K,7,FALSE),"")</f>
        <v/>
      </c>
      <c r="E5">
        <f>IFERROR(VLOOKUP($A5,'Timelines'!$A:$K,9,FALSE),"")</f>
        <v/>
      </c>
    </row>
    <row r="6">
      <c r="A6" t="inlineStr">
        <is>
          <t>P-005</t>
        </is>
      </c>
      <c r="B6">
        <f>IFERROR(VLOOKUP($A6,'Timelines'!$A:$K,3,FALSE),"")</f>
        <v/>
      </c>
      <c r="C6">
        <f>IFERROR(VLOOKUP($A6,'Timelines'!$A:$K,5,FALSE),"")</f>
        <v/>
      </c>
      <c r="D6">
        <f>IFERROR(VLOOKUP($A6,'Timelines'!$A:$K,7,FALSE),"")</f>
        <v/>
      </c>
      <c r="E6">
        <f>IFERROR(VLOOKUP($A6,'Timelines'!$A:$K,9,FALSE),"")</f>
        <v/>
      </c>
    </row>
    <row r="7">
      <c r="A7" t="inlineStr">
        <is>
          <t>T-001</t>
        </is>
      </c>
      <c r="B7">
        <f>IFERROR(VLOOKUP($A7,'Timelines'!$A:$K,3,FALSE),"")</f>
        <v/>
      </c>
      <c r="C7">
        <f>IFERROR(VLOOKUP($A7,'Timelines'!$A:$K,5,FALSE),"")</f>
        <v/>
      </c>
      <c r="D7">
        <f>IFERROR(VLOOKUP($A7,'Timelines'!$A:$K,7,FALSE),"")</f>
        <v/>
      </c>
      <c r="E7">
        <f>IFERROR(VLOOKUP($A7,'Timelines'!$A:$K,9,FALSE),"")</f>
        <v/>
      </c>
    </row>
    <row r="8">
      <c r="A8" t="inlineStr">
        <is>
          <t>T-002</t>
        </is>
      </c>
      <c r="B8">
        <f>IFERROR(VLOOKUP($A8,'Timelines'!$A:$K,3,FALSE),"")</f>
        <v/>
      </c>
      <c r="C8">
        <f>IFERROR(VLOOKUP($A8,'Timelines'!$A:$K,5,FALSE),"")</f>
        <v/>
      </c>
      <c r="D8">
        <f>IFERROR(VLOOKUP($A8,'Timelines'!$A:$K,7,FALSE),"")</f>
        <v/>
      </c>
      <c r="E8">
        <f>IFERROR(VLOOKUP($A8,'Timelines'!$A:$K,9,FALSE),"")</f>
        <v/>
      </c>
    </row>
    <row r="9">
      <c r="A9" t="inlineStr">
        <is>
          <t>T-003</t>
        </is>
      </c>
      <c r="B9">
        <f>IFERROR(VLOOKUP($A9,'Timelines'!$A:$K,3,FALSE),"")</f>
        <v/>
      </c>
      <c r="C9">
        <f>IFERROR(VLOOKUP($A9,'Timelines'!$A:$K,5,FALSE),"")</f>
        <v/>
      </c>
      <c r="D9">
        <f>IFERROR(VLOOKUP($A9,'Timelines'!$A:$K,7,FALSE),"")</f>
        <v/>
      </c>
      <c r="E9">
        <f>IFERROR(VLOOKUP($A9,'Timelines'!$A:$K,9,FALSE),"")</f>
        <v/>
      </c>
    </row>
    <row r="10">
      <c r="A10" t="inlineStr">
        <is>
          <t>T-004</t>
        </is>
      </c>
      <c r="B10">
        <f>IFERROR(VLOOKUP($A10,'Timelines'!$A:$K,3,FALSE),"")</f>
        <v/>
      </c>
      <c r="C10">
        <f>IFERROR(VLOOKUP($A10,'Timelines'!$A:$K,5,FALSE),"")</f>
        <v/>
      </c>
      <c r="D10">
        <f>IFERROR(VLOOKUP($A10,'Timelines'!$A:$K,7,FALSE),"")</f>
        <v/>
      </c>
      <c r="E10">
        <f>IFERROR(VLOOKUP($A10,'Timelines'!$A:$K,9,FALSE),"")</f>
        <v/>
      </c>
    </row>
    <row r="11">
      <c r="A11" t="inlineStr">
        <is>
          <t>T-005</t>
        </is>
      </c>
      <c r="B11">
        <f>IFERROR(VLOOKUP($A11,'Timelines'!$A:$K,3,FALSE),"")</f>
        <v/>
      </c>
      <c r="C11">
        <f>IFERROR(VLOOKUP($A11,'Timelines'!$A:$K,5,FALSE),"")</f>
        <v/>
      </c>
      <c r="D11">
        <f>IFERROR(VLOOKUP($A11,'Timelines'!$A:$K,7,FALSE),"")</f>
        <v/>
      </c>
      <c r="E11">
        <f>IFERROR(VLOOKUP($A11,'Timelines'!$A:$K,9,FALSE),"")</f>
        <v/>
      </c>
    </row>
    <row r="12">
      <c r="A12" t="inlineStr">
        <is>
          <t>T-006</t>
        </is>
      </c>
      <c r="B12">
        <f>IFERROR(VLOOKUP($A12,'Timelines'!$A:$K,3,FALSE),"")</f>
        <v/>
      </c>
      <c r="C12">
        <f>IFERROR(VLOOKUP($A12,'Timelines'!$A:$K,5,FALSE),"")</f>
        <v/>
      </c>
      <c r="D12">
        <f>IFERROR(VLOOKUP($A12,'Timelines'!$A:$K,7,FALSE),"")</f>
        <v/>
      </c>
      <c r="E12">
        <f>IFERROR(VLOOKUP($A12,'Timelines'!$A:$K,9,FALSE),"")</f>
        <v/>
      </c>
    </row>
    <row r="13">
      <c r="A13" t="inlineStr">
        <is>
          <t>T-007</t>
        </is>
      </c>
      <c r="B13">
        <f>IFERROR(VLOOKUP($A13,'Timelines'!$A:$K,3,FALSE),"")</f>
        <v/>
      </c>
      <c r="C13">
        <f>IFERROR(VLOOKUP($A13,'Timelines'!$A:$K,5,FALSE),"")</f>
        <v/>
      </c>
      <c r="D13">
        <f>IFERROR(VLOOKUP($A13,'Timelines'!$A:$K,7,FALSE),"")</f>
        <v/>
      </c>
      <c r="E13">
        <f>IFERROR(VLOOKUP($A13,'Timelines'!$A:$K,9,FALSE),"")</f>
        <v/>
      </c>
    </row>
    <row r="14">
      <c r="A14" t="inlineStr">
        <is>
          <t>T-008</t>
        </is>
      </c>
      <c r="B14">
        <f>IFERROR(VLOOKUP($A14,'Timelines'!$A:$K,3,FALSE),"")</f>
        <v/>
      </c>
      <c r="C14">
        <f>IFERROR(VLOOKUP($A14,'Timelines'!$A:$K,5,FALSE),"")</f>
        <v/>
      </c>
      <c r="D14">
        <f>IFERROR(VLOOKUP($A14,'Timelines'!$A:$K,7,FALSE),"")</f>
        <v/>
      </c>
      <c r="E14">
        <f>IFERROR(VLOOKUP($A14,'Timelines'!$A:$K,9,FALSE),"")</f>
        <v/>
      </c>
    </row>
    <row r="15">
      <c r="A15" t="inlineStr">
        <is>
          <t>T-009</t>
        </is>
      </c>
      <c r="B15">
        <f>IFERROR(VLOOKUP($A15,'Timelines'!$A:$K,3,FALSE),"")</f>
        <v/>
      </c>
      <c r="C15">
        <f>IFERROR(VLOOKUP($A15,'Timelines'!$A:$K,5,FALSE),"")</f>
        <v/>
      </c>
      <c r="D15">
        <f>IFERROR(VLOOKUP($A15,'Timelines'!$A:$K,7,FALSE),"")</f>
        <v/>
      </c>
      <c r="E15">
        <f>IFERROR(VLOOKUP($A15,'Timelines'!$A:$K,9,FALSE),"")</f>
        <v/>
      </c>
    </row>
    <row r="16">
      <c r="A16" t="inlineStr">
        <is>
          <t>T-010</t>
        </is>
      </c>
      <c r="B16">
        <f>IFERROR(VLOOKUP($A16,'Timelines'!$A:$K,3,FALSE),"")</f>
        <v/>
      </c>
      <c r="C16">
        <f>IFERROR(VLOOKUP($A16,'Timelines'!$A:$K,5,FALSE),"")</f>
        <v/>
      </c>
      <c r="D16">
        <f>IFERROR(VLOOKUP($A16,'Timelines'!$A:$K,7,FALSE),"")</f>
        <v/>
      </c>
      <c r="E16">
        <f>IFERROR(VLOOKUP($A16,'Timelines'!$A:$K,9,FALSE),"")</f>
        <v/>
      </c>
    </row>
    <row r="17">
      <c r="A17" t="inlineStr">
        <is>
          <t>T-011</t>
        </is>
      </c>
      <c r="B17">
        <f>IFERROR(VLOOKUP($A17,'Timelines'!$A:$K,3,FALSE),"")</f>
        <v/>
      </c>
      <c r="C17">
        <f>IFERROR(VLOOKUP($A17,'Timelines'!$A:$K,5,FALSE),"")</f>
        <v/>
      </c>
      <c r="D17">
        <f>IFERROR(VLOOKUP($A17,'Timelines'!$A:$K,7,FALSE),"")</f>
        <v/>
      </c>
      <c r="E17">
        <f>IFERROR(VLOOKUP($A17,'Timelines'!$A:$K,9,FALSE),"")</f>
        <v/>
      </c>
    </row>
    <row r="18">
      <c r="A18" t="inlineStr">
        <is>
          <t>T-012</t>
        </is>
      </c>
      <c r="B18">
        <f>IFERROR(VLOOKUP($A18,'Timelines'!$A:$K,3,FALSE),"")</f>
        <v/>
      </c>
      <c r="C18">
        <f>IFERROR(VLOOKUP($A18,'Timelines'!$A:$K,5,FALSE),"")</f>
        <v/>
      </c>
      <c r="D18">
        <f>IFERROR(VLOOKUP($A18,'Timelines'!$A:$K,7,FALSE),"")</f>
        <v/>
      </c>
      <c r="E18">
        <f>IFERROR(VLOOKUP($A18,'Timelines'!$A:$K,9,FALSE),"")</f>
        <v/>
      </c>
    </row>
    <row r="19">
      <c r="A19" t="inlineStr">
        <is>
          <t>T-013</t>
        </is>
      </c>
      <c r="B19">
        <f>IFERROR(VLOOKUP($A19,'Timelines'!$A:$K,3,FALSE),"")</f>
        <v/>
      </c>
      <c r="C19">
        <f>IFERROR(VLOOKUP($A19,'Timelines'!$A:$K,5,FALSE),"")</f>
        <v/>
      </c>
      <c r="D19">
        <f>IFERROR(VLOOKUP($A19,'Timelines'!$A:$K,7,FALSE),"")</f>
        <v/>
      </c>
      <c r="E19">
        <f>IFERROR(VLOOKUP($A19,'Timelines'!$A:$K,9,FALSE),"")</f>
        <v/>
      </c>
    </row>
    <row r="20">
      <c r="A20" t="inlineStr">
        <is>
          <t>T-014</t>
        </is>
      </c>
      <c r="B20">
        <f>IFERROR(VLOOKUP($A20,'Timelines'!$A:$K,3,FALSE),"")</f>
        <v/>
      </c>
      <c r="C20">
        <f>IFERROR(VLOOKUP($A20,'Timelines'!$A:$K,5,FALSE),"")</f>
        <v/>
      </c>
      <c r="D20">
        <f>IFERROR(VLOOKUP($A20,'Timelines'!$A:$K,7,FALSE),"")</f>
        <v/>
      </c>
      <c r="E20">
        <f>IFERROR(VLOOKUP($A20,'Timelines'!$A:$K,9,FALSE),"")</f>
        <v/>
      </c>
    </row>
    <row r="21">
      <c r="A21" t="inlineStr">
        <is>
          <t>D-001</t>
        </is>
      </c>
      <c r="B21">
        <f>IFERROR(VLOOKUP($A21,'Timelines'!$A:$K,3,FALSE),"")</f>
        <v/>
      </c>
      <c r="C21">
        <f>IFERROR(VLOOKUP($A21,'Timelines'!$A:$K,5,FALSE),"")</f>
        <v/>
      </c>
      <c r="D21">
        <f>IFERROR(VLOOKUP($A21,'Timelines'!$A:$K,7,FALSE),"")</f>
        <v/>
      </c>
      <c r="E21">
        <f>IFERROR(VLOOKUP($A21,'Timelines'!$A:$K,9,FALSE),"")</f>
        <v/>
      </c>
    </row>
    <row r="22">
      <c r="A22" t="inlineStr">
        <is>
          <t>D-002</t>
        </is>
      </c>
      <c r="B22">
        <f>IFERROR(VLOOKUP($A22,'Timelines'!$A:$K,3,FALSE),"")</f>
        <v/>
      </c>
      <c r="C22">
        <f>IFERROR(VLOOKUP($A22,'Timelines'!$A:$K,5,FALSE),"")</f>
        <v/>
      </c>
      <c r="D22">
        <f>IFERROR(VLOOKUP($A22,'Timelines'!$A:$K,7,FALSE),"")</f>
        <v/>
      </c>
      <c r="E22">
        <f>IFERROR(VLOOKUP($A22,'Timelines'!$A:$K,9,FALSE),"")</f>
        <v/>
      </c>
    </row>
    <row r="23">
      <c r="A23" t="inlineStr">
        <is>
          <t>D-003</t>
        </is>
      </c>
      <c r="B23">
        <f>IFERROR(VLOOKUP($A23,'Timelines'!$A:$K,3,FALSE),"")</f>
        <v/>
      </c>
      <c r="C23">
        <f>IFERROR(VLOOKUP($A23,'Timelines'!$A:$K,5,FALSE),"")</f>
        <v/>
      </c>
      <c r="D23">
        <f>IFERROR(VLOOKUP($A23,'Timelines'!$A:$K,7,FALSE),"")</f>
        <v/>
      </c>
      <c r="E23">
        <f>IFERROR(VLOOKUP($A23,'Timelines'!$A:$K,9,FALSE),"")</f>
        <v/>
      </c>
    </row>
    <row r="24">
      <c r="A24" t="inlineStr">
        <is>
          <t>D-004</t>
        </is>
      </c>
      <c r="B24">
        <f>IFERROR(VLOOKUP($A24,'Timelines'!$A:$K,3,FALSE),"")</f>
        <v/>
      </c>
      <c r="C24">
        <f>IFERROR(VLOOKUP($A24,'Timelines'!$A:$K,5,FALSE),"")</f>
        <v/>
      </c>
      <c r="D24">
        <f>IFERROR(VLOOKUP($A24,'Timelines'!$A:$K,7,FALSE),"")</f>
        <v/>
      </c>
      <c r="E24">
        <f>IFERROR(VLOOKUP($A24,'Timelines'!$A:$K,9,FALSE),"")</f>
        <v/>
      </c>
    </row>
    <row r="25">
      <c r="A25" t="inlineStr">
        <is>
          <t>D-005</t>
        </is>
      </c>
      <c r="B25">
        <f>IFERROR(VLOOKUP($A25,'Timelines'!$A:$K,3,FALSE),"")</f>
        <v/>
      </c>
      <c r="C25">
        <f>IFERROR(VLOOKUP($A25,'Timelines'!$A:$K,5,FALSE),"")</f>
        <v/>
      </c>
      <c r="D25">
        <f>IFERROR(VLOOKUP($A25,'Timelines'!$A:$K,7,FALSE),"")</f>
        <v/>
      </c>
      <c r="E25">
        <f>IFERROR(VLOOKUP($A25,'Timelines'!$A:$K,9,FALSE),"")</f>
        <v/>
      </c>
    </row>
    <row r="26">
      <c r="A26" t="inlineStr">
        <is>
          <t>D-006</t>
        </is>
      </c>
      <c r="B26">
        <f>IFERROR(VLOOKUP($A26,'Timelines'!$A:$K,3,FALSE),"")</f>
        <v/>
      </c>
      <c r="C26">
        <f>IFERROR(VLOOKUP($A26,'Timelines'!$A:$K,5,FALSE),"")</f>
        <v/>
      </c>
      <c r="D26">
        <f>IFERROR(VLOOKUP($A26,'Timelines'!$A:$K,7,FALSE),"")</f>
        <v/>
      </c>
      <c r="E26">
        <f>IFERROR(VLOOKUP($A26,'Timelines'!$A:$K,9,FALSE),"")</f>
        <v/>
      </c>
    </row>
    <row r="27">
      <c r="A27" t="inlineStr">
        <is>
          <t>D-007</t>
        </is>
      </c>
      <c r="B27">
        <f>IFERROR(VLOOKUP($A27,'Timelines'!$A:$K,3,FALSE),"")</f>
        <v/>
      </c>
      <c r="C27">
        <f>IFERROR(VLOOKUP($A27,'Timelines'!$A:$K,5,FALSE),"")</f>
        <v/>
      </c>
      <c r="D27">
        <f>IFERROR(VLOOKUP($A27,'Timelines'!$A:$K,7,FALSE),"")</f>
        <v/>
      </c>
      <c r="E27">
        <f>IFERROR(VLOOKUP($A27,'Timelines'!$A:$K,9,FALSE),"")</f>
        <v/>
      </c>
    </row>
    <row r="28">
      <c r="A28" t="inlineStr">
        <is>
          <t>D-008</t>
        </is>
      </c>
      <c r="B28">
        <f>IFERROR(VLOOKUP($A28,'Timelines'!$A:$K,3,FALSE),"")</f>
        <v/>
      </c>
      <c r="C28">
        <f>IFERROR(VLOOKUP($A28,'Timelines'!$A:$K,5,FALSE),"")</f>
        <v/>
      </c>
      <c r="D28">
        <f>IFERROR(VLOOKUP($A28,'Timelines'!$A:$K,7,FALSE),"")</f>
        <v/>
      </c>
      <c r="E28">
        <f>IFERROR(VLOOKUP($A28,'Timelines'!$A:$K,9,FALSE),"")</f>
        <v/>
      </c>
    </row>
    <row r="29">
      <c r="A29" t="inlineStr">
        <is>
          <t>D-009</t>
        </is>
      </c>
      <c r="B29">
        <f>IFERROR(VLOOKUP($A29,'Timelines'!$A:$K,3,FALSE),"")</f>
        <v/>
      </c>
      <c r="C29">
        <f>IFERROR(VLOOKUP($A29,'Timelines'!$A:$K,5,FALSE),"")</f>
        <v/>
      </c>
      <c r="D29">
        <f>IFERROR(VLOOKUP($A29,'Timelines'!$A:$K,7,FALSE),"")</f>
        <v/>
      </c>
      <c r="E29">
        <f>IFERROR(VLOOKUP($A29,'Timelines'!$A:$K,9,FALSE),"")</f>
        <v/>
      </c>
    </row>
    <row r="30">
      <c r="A30" t="inlineStr">
        <is>
          <t>D-010</t>
        </is>
      </c>
      <c r="B30">
        <f>IFERROR(VLOOKUP($A30,'Timelines'!$A:$K,3,FALSE),"")</f>
        <v/>
      </c>
      <c r="C30">
        <f>IFERROR(VLOOKUP($A30,'Timelines'!$A:$K,5,FALSE),"")</f>
        <v/>
      </c>
      <c r="D30">
        <f>IFERROR(VLOOKUP($A30,'Timelines'!$A:$K,7,FALSE),"")</f>
        <v/>
      </c>
      <c r="E30">
        <f>IFERROR(VLOOKUP($A30,'Timelines'!$A:$K,9,FALSE),"")</f>
        <v/>
      </c>
    </row>
    <row r="31">
      <c r="A31" t="inlineStr">
        <is>
          <t>D-011</t>
        </is>
      </c>
      <c r="B31">
        <f>IFERROR(VLOOKUP($A31,'Timelines'!$A:$K,3,FALSE),"")</f>
        <v/>
      </c>
      <c r="C31">
        <f>IFERROR(VLOOKUP($A31,'Timelines'!$A:$K,5,FALSE),"")</f>
        <v/>
      </c>
      <c r="D31">
        <f>IFERROR(VLOOKUP($A31,'Timelines'!$A:$K,7,FALSE),"")</f>
        <v/>
      </c>
      <c r="E31">
        <f>IFERROR(VLOOKUP($A31,'Timelines'!$A:$K,9,FALSE),"")</f>
        <v/>
      </c>
    </row>
    <row r="32">
      <c r="A32" t="inlineStr">
        <is>
          <t>D-012</t>
        </is>
      </c>
      <c r="B32">
        <f>IFERROR(VLOOKUP($A32,'Timelines'!$A:$K,3,FALSE),"")</f>
        <v/>
      </c>
      <c r="C32">
        <f>IFERROR(VLOOKUP($A32,'Timelines'!$A:$K,5,FALSE),"")</f>
        <v/>
      </c>
      <c r="D32">
        <f>IFERROR(VLOOKUP($A32,'Timelines'!$A:$K,7,FALSE),"")</f>
        <v/>
      </c>
      <c r="E32">
        <f>IFERROR(VLOOKUP($A32,'Timelines'!$A:$K,9,FALSE),"")</f>
        <v/>
      </c>
    </row>
    <row r="33">
      <c r="A33" t="inlineStr">
        <is>
          <t>D-013</t>
        </is>
      </c>
      <c r="B33">
        <f>IFERROR(VLOOKUP($A33,'Timelines'!$A:$K,3,FALSE),"")</f>
        <v/>
      </c>
      <c r="C33">
        <f>IFERROR(VLOOKUP($A33,'Timelines'!$A:$K,5,FALSE),"")</f>
        <v/>
      </c>
      <c r="D33">
        <f>IFERROR(VLOOKUP($A33,'Timelines'!$A:$K,7,FALSE),"")</f>
        <v/>
      </c>
      <c r="E33">
        <f>IFERROR(VLOOKUP($A33,'Timelines'!$A:$K,9,FALSE),"")</f>
        <v/>
      </c>
    </row>
    <row r="34">
      <c r="A34" t="inlineStr">
        <is>
          <t>D-014</t>
        </is>
      </c>
      <c r="B34">
        <f>IFERROR(VLOOKUP($A34,'Timelines'!$A:$K,3,FALSE),"")</f>
        <v/>
      </c>
      <c r="C34">
        <f>IFERROR(VLOOKUP($A34,'Timelines'!$A:$K,5,FALSE),"")</f>
        <v/>
      </c>
      <c r="D34">
        <f>IFERROR(VLOOKUP($A34,'Timelines'!$A:$K,7,FALSE),"")</f>
        <v/>
      </c>
      <c r="E34">
        <f>IFERROR(VLOOKUP($A34,'Timelines'!$A:$K,9,FALSE),"")</f>
        <v/>
      </c>
    </row>
    <row r="35">
      <c r="A35" t="inlineStr">
        <is>
          <t>D-015</t>
        </is>
      </c>
      <c r="B35">
        <f>IFERROR(VLOOKUP($A35,'Timelines'!$A:$K,3,FALSE),"")</f>
        <v/>
      </c>
      <c r="C35">
        <f>IFERROR(VLOOKUP($A35,'Timelines'!$A:$K,5,FALSE),"")</f>
        <v/>
      </c>
      <c r="D35">
        <f>IFERROR(VLOOKUP($A35,'Timelines'!$A:$K,7,FALSE),"")</f>
        <v/>
      </c>
      <c r="E35">
        <f>IFERROR(VLOOKUP($A35,'Timelines'!$A:$K,9,FALSE),"")</f>
        <v/>
      </c>
    </row>
    <row r="36">
      <c r="A36" t="inlineStr">
        <is>
          <t>D-016</t>
        </is>
      </c>
      <c r="B36">
        <f>IFERROR(VLOOKUP($A36,'Timelines'!$A:$K,3,FALSE),"")</f>
        <v/>
      </c>
      <c r="C36">
        <f>IFERROR(VLOOKUP($A36,'Timelines'!$A:$K,5,FALSE),"")</f>
        <v/>
      </c>
      <c r="D36">
        <f>IFERROR(VLOOKUP($A36,'Timelines'!$A:$K,7,FALSE),"")</f>
        <v/>
      </c>
      <c r="E36">
        <f>IFERROR(VLOOKUP($A36,'Timelines'!$A:$K,9,FALSE),"")</f>
        <v/>
      </c>
    </row>
    <row r="37">
      <c r="A37" t="inlineStr">
        <is>
          <t>D-017</t>
        </is>
      </c>
      <c r="B37">
        <f>IFERROR(VLOOKUP($A37,'Timelines'!$A:$K,3,FALSE),"")</f>
        <v/>
      </c>
      <c r="C37">
        <f>IFERROR(VLOOKUP($A37,'Timelines'!$A:$K,5,FALSE),"")</f>
        <v/>
      </c>
      <c r="D37">
        <f>IFERROR(VLOOKUP($A37,'Timelines'!$A:$K,7,FALSE),"")</f>
        <v/>
      </c>
      <c r="E37">
        <f>IFERROR(VLOOKUP($A37,'Timelines'!$A:$K,9,FALSE),"")</f>
        <v/>
      </c>
    </row>
    <row r="38">
      <c r="A38" t="inlineStr">
        <is>
          <t>D-018</t>
        </is>
      </c>
      <c r="B38">
        <f>IFERROR(VLOOKUP($A38,'Timelines'!$A:$K,3,FALSE),"")</f>
        <v/>
      </c>
      <c r="C38">
        <f>IFERROR(VLOOKUP($A38,'Timelines'!$A:$K,5,FALSE),"")</f>
        <v/>
      </c>
      <c r="D38">
        <f>IFERROR(VLOOKUP($A38,'Timelines'!$A:$K,7,FALSE),"")</f>
        <v/>
      </c>
      <c r="E38">
        <f>IFERROR(VLOOKUP($A38,'Timelines'!$A:$K,9,FALSE),"")</f>
        <v/>
      </c>
    </row>
    <row r="39">
      <c r="A39" t="inlineStr">
        <is>
          <t>D-019</t>
        </is>
      </c>
      <c r="B39">
        <f>IFERROR(VLOOKUP($A39,'Timelines'!$A:$K,3,FALSE),"")</f>
        <v/>
      </c>
      <c r="C39">
        <f>IFERROR(VLOOKUP($A39,'Timelines'!$A:$K,5,FALSE),"")</f>
        <v/>
      </c>
      <c r="D39">
        <f>IFERROR(VLOOKUP($A39,'Timelines'!$A:$K,7,FALSE),"")</f>
        <v/>
      </c>
      <c r="E39">
        <f>IFERROR(VLOOKUP($A39,'Timelines'!$A:$K,9,FALSE),"")</f>
        <v/>
      </c>
    </row>
    <row r="40">
      <c r="A40" t="inlineStr">
        <is>
          <t>D-020</t>
        </is>
      </c>
      <c r="B40">
        <f>IFERROR(VLOOKUP($A40,'Timelines'!$A:$K,3,FALSE),"")</f>
        <v/>
      </c>
      <c r="C40">
        <f>IFERROR(VLOOKUP($A40,'Timelines'!$A:$K,5,FALSE),"")</f>
        <v/>
      </c>
      <c r="D40">
        <f>IFERROR(VLOOKUP($A40,'Timelines'!$A:$K,7,FALSE),"")</f>
        <v/>
      </c>
      <c r="E40">
        <f>IFERROR(VLOOKUP($A40,'Timelines'!$A:$K,9,FALSE),"")</f>
        <v/>
      </c>
    </row>
    <row r="41">
      <c r="A41" t="inlineStr">
        <is>
          <t>D-021</t>
        </is>
      </c>
      <c r="B41">
        <f>IFERROR(VLOOKUP($A41,'Timelines'!$A:$K,3,FALSE),"")</f>
        <v/>
      </c>
      <c r="C41">
        <f>IFERROR(VLOOKUP($A41,'Timelines'!$A:$K,5,FALSE),"")</f>
        <v/>
      </c>
      <c r="D41">
        <f>IFERROR(VLOOKUP($A41,'Timelines'!$A:$K,7,FALSE),"")</f>
        <v/>
      </c>
      <c r="E41">
        <f>IFERROR(VLOOKUP($A41,'Timelines'!$A:$K,9,FALSE),"")</f>
        <v/>
      </c>
    </row>
    <row r="42">
      <c r="A42" t="inlineStr">
        <is>
          <t>D-022</t>
        </is>
      </c>
      <c r="B42">
        <f>IFERROR(VLOOKUP($A42,'Timelines'!$A:$K,3,FALSE),"")</f>
        <v/>
      </c>
      <c r="C42">
        <f>IFERROR(VLOOKUP($A42,'Timelines'!$A:$K,5,FALSE),"")</f>
        <v/>
      </c>
      <c r="D42">
        <f>IFERROR(VLOOKUP($A42,'Timelines'!$A:$K,7,FALSE),"")</f>
        <v/>
      </c>
      <c r="E42">
        <f>IFERROR(VLOOKUP($A42,'Timelines'!$A:$K,9,FALSE),"")</f>
        <v/>
      </c>
    </row>
    <row r="43">
      <c r="A43" t="inlineStr">
        <is>
          <t>D-023</t>
        </is>
      </c>
      <c r="B43">
        <f>IFERROR(VLOOKUP($A43,'Timelines'!$A:$K,3,FALSE),"")</f>
        <v/>
      </c>
      <c r="C43">
        <f>IFERROR(VLOOKUP($A43,'Timelines'!$A:$K,5,FALSE),"")</f>
        <v/>
      </c>
      <c r="D43">
        <f>IFERROR(VLOOKUP($A43,'Timelines'!$A:$K,7,FALSE),"")</f>
        <v/>
      </c>
      <c r="E43">
        <f>IFERROR(VLOOKUP($A43,'Timelines'!$A:$K,9,FALSE),"")</f>
        <v/>
      </c>
    </row>
    <row r="44">
      <c r="A44" t="inlineStr">
        <is>
          <t>D-024</t>
        </is>
      </c>
      <c r="B44">
        <f>IFERROR(VLOOKUP($A44,'Timelines'!$A:$K,3,FALSE),"")</f>
        <v/>
      </c>
      <c r="C44">
        <f>IFERROR(VLOOKUP($A44,'Timelines'!$A:$K,5,FALSE),"")</f>
        <v/>
      </c>
      <c r="D44">
        <f>IFERROR(VLOOKUP($A44,'Timelines'!$A:$K,7,FALSE),"")</f>
        <v/>
      </c>
      <c r="E44">
        <f>IFERROR(VLOOKUP($A44,'Timelines'!$A:$K,9,FALSE),"")</f>
        <v/>
      </c>
    </row>
    <row r="45">
      <c r="A45" t="inlineStr">
        <is>
          <t>D-025</t>
        </is>
      </c>
      <c r="B45">
        <f>IFERROR(VLOOKUP($A45,'Timelines'!$A:$K,3,FALSE),"")</f>
        <v/>
      </c>
      <c r="C45">
        <f>IFERROR(VLOOKUP($A45,'Timelines'!$A:$K,5,FALSE),"")</f>
        <v/>
      </c>
      <c r="D45">
        <f>IFERROR(VLOOKUP($A45,'Timelines'!$A:$K,7,FALSE),"")</f>
        <v/>
      </c>
      <c r="E45">
        <f>IFERROR(VLOOKUP($A45,'Timelines'!$A:$K,9,FALSE),"")</f>
        <v/>
      </c>
    </row>
    <row r="46">
      <c r="A46" t="inlineStr">
        <is>
          <t>D-026</t>
        </is>
      </c>
      <c r="B46">
        <f>IFERROR(VLOOKUP($A46,'Timelines'!$A:$K,3,FALSE),"")</f>
        <v/>
      </c>
      <c r="C46">
        <f>IFERROR(VLOOKUP($A46,'Timelines'!$A:$K,5,FALSE),"")</f>
        <v/>
      </c>
      <c r="D46">
        <f>IFERROR(VLOOKUP($A46,'Timelines'!$A:$K,7,FALSE),"")</f>
        <v/>
      </c>
      <c r="E46">
        <f>IFERROR(VLOOKUP($A46,'Timelines'!$A:$K,9,FALSE),"")</f>
        <v/>
      </c>
    </row>
    <row r="47">
      <c r="A47" t="inlineStr">
        <is>
          <t>D-027</t>
        </is>
      </c>
      <c r="B47">
        <f>IFERROR(VLOOKUP($A47,'Timelines'!$A:$K,3,FALSE),"")</f>
        <v/>
      </c>
      <c r="C47">
        <f>IFERROR(VLOOKUP($A47,'Timelines'!$A:$K,5,FALSE),"")</f>
        <v/>
      </c>
      <c r="D47">
        <f>IFERROR(VLOOKUP($A47,'Timelines'!$A:$K,7,FALSE),"")</f>
        <v/>
      </c>
      <c r="E47">
        <f>IFERROR(VLOOKUP($A47,'Timelines'!$A:$K,9,FALSE),"")</f>
        <v/>
      </c>
    </row>
    <row r="48">
      <c r="A48" t="inlineStr">
        <is>
          <t>D-028</t>
        </is>
      </c>
      <c r="B48">
        <f>IFERROR(VLOOKUP($A48,'Timelines'!$A:$K,3,FALSE),"")</f>
        <v/>
      </c>
      <c r="C48">
        <f>IFERROR(VLOOKUP($A48,'Timelines'!$A:$K,5,FALSE),"")</f>
        <v/>
      </c>
      <c r="D48">
        <f>IFERROR(VLOOKUP($A48,'Timelines'!$A:$K,7,FALSE),"")</f>
        <v/>
      </c>
      <c r="E48">
        <f>IFERROR(VLOOKUP($A48,'Timelines'!$A:$K,9,FALSE),"")</f>
        <v/>
      </c>
    </row>
    <row r="49">
      <c r="A49" t="inlineStr">
        <is>
          <t>D-029</t>
        </is>
      </c>
      <c r="B49">
        <f>IFERROR(VLOOKUP($A49,'Timelines'!$A:$K,3,FALSE),"")</f>
        <v/>
      </c>
      <c r="C49">
        <f>IFERROR(VLOOKUP($A49,'Timelines'!$A:$K,5,FALSE),"")</f>
        <v/>
      </c>
      <c r="D49">
        <f>IFERROR(VLOOKUP($A49,'Timelines'!$A:$K,7,FALSE),"")</f>
        <v/>
      </c>
      <c r="E49">
        <f>IFERROR(VLOOKUP($A49,'Timelines'!$A:$K,9,FALSE),"")</f>
        <v/>
      </c>
    </row>
    <row r="50">
      <c r="A50" t="inlineStr">
        <is>
          <t>D-030</t>
        </is>
      </c>
      <c r="B50">
        <f>IFERROR(VLOOKUP($A50,'Timelines'!$A:$K,3,FALSE),"")</f>
        <v/>
      </c>
      <c r="C50">
        <f>IFERROR(VLOOKUP($A50,'Timelines'!$A:$K,5,FALSE),"")</f>
        <v/>
      </c>
      <c r="D50">
        <f>IFERROR(VLOOKUP($A50,'Timelines'!$A:$K,7,FALSE),"")</f>
        <v/>
      </c>
      <c r="E50">
        <f>IFERROR(VLOOKUP($A50,'Timelines'!$A:$K,9,FALSE),"")</f>
        <v/>
      </c>
    </row>
    <row r="51">
      <c r="A51" t="inlineStr">
        <is>
          <t>D-031</t>
        </is>
      </c>
      <c r="B51">
        <f>IFERROR(VLOOKUP($A51,'Timelines'!$A:$K,3,FALSE),"")</f>
        <v/>
      </c>
      <c r="C51">
        <f>IFERROR(VLOOKUP($A51,'Timelines'!$A:$K,5,FALSE),"")</f>
        <v/>
      </c>
      <c r="D51">
        <f>IFERROR(VLOOKUP($A51,'Timelines'!$A:$K,7,FALSE),"")</f>
        <v/>
      </c>
      <c r="E51">
        <f>IFERROR(VLOOKUP($A51,'Timelines'!$A:$K,9,FALSE),"")</f>
        <v/>
      </c>
    </row>
    <row r="52">
      <c r="A52" t="inlineStr">
        <is>
          <t>D-032</t>
        </is>
      </c>
      <c r="B52">
        <f>IFERROR(VLOOKUP($A52,'Timelines'!$A:$K,3,FALSE),"")</f>
        <v/>
      </c>
      <c r="C52">
        <f>IFERROR(VLOOKUP($A52,'Timelines'!$A:$K,5,FALSE),"")</f>
        <v/>
      </c>
      <c r="D52">
        <f>IFERROR(VLOOKUP($A52,'Timelines'!$A:$K,7,FALSE),"")</f>
        <v/>
      </c>
      <c r="E52">
        <f>IFERROR(VLOOKUP($A52,'Timelines'!$A:$K,9,FALSE),"")</f>
        <v/>
      </c>
    </row>
    <row r="53">
      <c r="A53" t="inlineStr">
        <is>
          <t>D-033</t>
        </is>
      </c>
      <c r="B53">
        <f>IFERROR(VLOOKUP($A53,'Timelines'!$A:$K,3,FALSE),"")</f>
        <v/>
      </c>
      <c r="C53">
        <f>IFERROR(VLOOKUP($A53,'Timelines'!$A:$K,5,FALSE),"")</f>
        <v/>
      </c>
      <c r="D53">
        <f>IFERROR(VLOOKUP($A53,'Timelines'!$A:$K,7,FALSE),"")</f>
        <v/>
      </c>
      <c r="E53">
        <f>IFERROR(VLOOKUP($A53,'Timelines'!$A:$K,9,FALSE),"")</f>
        <v/>
      </c>
    </row>
    <row r="54">
      <c r="A54" t="inlineStr">
        <is>
          <t>D-034</t>
        </is>
      </c>
      <c r="B54">
        <f>IFERROR(VLOOKUP($A54,'Timelines'!$A:$K,3,FALSE),"")</f>
        <v/>
      </c>
      <c r="C54">
        <f>IFERROR(VLOOKUP($A54,'Timelines'!$A:$K,5,FALSE),"")</f>
        <v/>
      </c>
      <c r="D54">
        <f>IFERROR(VLOOKUP($A54,'Timelines'!$A:$K,7,FALSE),"")</f>
        <v/>
      </c>
      <c r="E54">
        <f>IFERROR(VLOOKUP($A54,'Timelines'!$A:$K,9,FALSE),"")</f>
        <v/>
      </c>
    </row>
    <row r="55">
      <c r="A55" t="inlineStr">
        <is>
          <t>D-035</t>
        </is>
      </c>
      <c r="B55">
        <f>IFERROR(VLOOKUP($A55,'Timelines'!$A:$K,3,FALSE),"")</f>
        <v/>
      </c>
      <c r="C55">
        <f>IFERROR(VLOOKUP($A55,'Timelines'!$A:$K,5,FALSE),"")</f>
        <v/>
      </c>
      <c r="D55">
        <f>IFERROR(VLOOKUP($A55,'Timelines'!$A:$K,7,FALSE),"")</f>
        <v/>
      </c>
      <c r="E55">
        <f>IFERROR(VLOOKUP($A55,'Timelines'!$A:$K,9,FALSE),"")</f>
        <v/>
      </c>
    </row>
    <row r="56">
      <c r="A56" t="inlineStr">
        <is>
          <t>D-036</t>
        </is>
      </c>
      <c r="B56">
        <f>IFERROR(VLOOKUP($A56,'Timelines'!$A:$K,3,FALSE),"")</f>
        <v/>
      </c>
      <c r="C56">
        <f>IFERROR(VLOOKUP($A56,'Timelines'!$A:$K,5,FALSE),"")</f>
        <v/>
      </c>
      <c r="D56">
        <f>IFERROR(VLOOKUP($A56,'Timelines'!$A:$K,7,FALSE),"")</f>
        <v/>
      </c>
      <c r="E56">
        <f>IFERROR(VLOOKUP($A56,'Timelines'!$A:$K,9,FALSE),"")</f>
        <v/>
      </c>
    </row>
    <row r="57">
      <c r="A57" t="inlineStr">
        <is>
          <t>D-037</t>
        </is>
      </c>
      <c r="B57">
        <f>IFERROR(VLOOKUP($A57,'Timelines'!$A:$K,3,FALSE),"")</f>
        <v/>
      </c>
      <c r="C57">
        <f>IFERROR(VLOOKUP($A57,'Timelines'!$A:$K,5,FALSE),"")</f>
        <v/>
      </c>
      <c r="D57">
        <f>IFERROR(VLOOKUP($A57,'Timelines'!$A:$K,7,FALSE),"")</f>
        <v/>
      </c>
      <c r="E57">
        <f>IFERROR(VLOOKUP($A57,'Timelines'!$A:$K,9,FALSE),"")</f>
        <v/>
      </c>
    </row>
    <row r="58">
      <c r="A58" t="inlineStr">
        <is>
          <t>D-038</t>
        </is>
      </c>
      <c r="B58">
        <f>IFERROR(VLOOKUP($A58,'Timelines'!$A:$K,3,FALSE),"")</f>
        <v/>
      </c>
      <c r="C58">
        <f>IFERROR(VLOOKUP($A58,'Timelines'!$A:$K,5,FALSE),"")</f>
        <v/>
      </c>
      <c r="D58">
        <f>IFERROR(VLOOKUP($A58,'Timelines'!$A:$K,7,FALSE),"")</f>
        <v/>
      </c>
      <c r="E58">
        <f>IFERROR(VLOOKUP($A58,'Timelines'!$A:$K,9,FALSE),"")</f>
        <v/>
      </c>
    </row>
    <row r="59">
      <c r="A59" t="inlineStr">
        <is>
          <t>D-039</t>
        </is>
      </c>
      <c r="B59">
        <f>IFERROR(VLOOKUP($A59,'Timelines'!$A:$K,3,FALSE),"")</f>
        <v/>
      </c>
      <c r="C59">
        <f>IFERROR(VLOOKUP($A59,'Timelines'!$A:$K,5,FALSE),"")</f>
        <v/>
      </c>
      <c r="D59">
        <f>IFERROR(VLOOKUP($A59,'Timelines'!$A:$K,7,FALSE),"")</f>
        <v/>
      </c>
      <c r="E59">
        <f>IFERROR(VLOOKUP($A59,'Timelines'!$A:$K,9,FALSE),"")</f>
        <v/>
      </c>
    </row>
    <row r="60">
      <c r="A60" t="inlineStr">
        <is>
          <t>D-040</t>
        </is>
      </c>
      <c r="B60">
        <f>IFERROR(VLOOKUP($A60,'Timelines'!$A:$K,3,FALSE),"")</f>
        <v/>
      </c>
      <c r="C60">
        <f>IFERROR(VLOOKUP($A60,'Timelines'!$A:$K,5,FALSE),"")</f>
        <v/>
      </c>
      <c r="D60">
        <f>IFERROR(VLOOKUP($A60,'Timelines'!$A:$K,7,FALSE),"")</f>
        <v/>
      </c>
      <c r="E60">
        <f>IFERROR(VLOOKUP($A60,'Timelines'!$A:$K,9,FALSE),"")</f>
        <v/>
      </c>
    </row>
    <row r="61">
      <c r="A61" t="inlineStr">
        <is>
          <t>D-041</t>
        </is>
      </c>
      <c r="B61">
        <f>IFERROR(VLOOKUP($A61,'Timelines'!$A:$K,3,FALSE),"")</f>
        <v/>
      </c>
      <c r="C61">
        <f>IFERROR(VLOOKUP($A61,'Timelines'!$A:$K,5,FALSE),"")</f>
        <v/>
      </c>
      <c r="D61">
        <f>IFERROR(VLOOKUP($A61,'Timelines'!$A:$K,7,FALSE),"")</f>
        <v/>
      </c>
      <c r="E61">
        <f>IFERROR(VLOOKUP($A61,'Timelines'!$A:$K,9,FALSE),"")</f>
        <v/>
      </c>
    </row>
    <row r="62">
      <c r="A62" t="inlineStr">
        <is>
          <t>D-042</t>
        </is>
      </c>
      <c r="B62">
        <f>IFERROR(VLOOKUP($A62,'Timelines'!$A:$K,3,FALSE),"")</f>
        <v/>
      </c>
      <c r="C62">
        <f>IFERROR(VLOOKUP($A62,'Timelines'!$A:$K,5,FALSE),"")</f>
        <v/>
      </c>
      <c r="D62">
        <f>IFERROR(VLOOKUP($A62,'Timelines'!$A:$K,7,FALSE),"")</f>
        <v/>
      </c>
      <c r="E62">
        <f>IFERROR(VLOOKUP($A62,'Timelines'!$A:$K,9,FALSE),"")</f>
        <v/>
      </c>
    </row>
    <row r="63">
      <c r="A63" t="inlineStr">
        <is>
          <t>D-043</t>
        </is>
      </c>
      <c r="B63">
        <f>IFERROR(VLOOKUP($A63,'Timelines'!$A:$K,3,FALSE),"")</f>
        <v/>
      </c>
      <c r="C63">
        <f>IFERROR(VLOOKUP($A63,'Timelines'!$A:$K,5,FALSE),"")</f>
        <v/>
      </c>
      <c r="D63">
        <f>IFERROR(VLOOKUP($A63,'Timelines'!$A:$K,7,FALSE),"")</f>
        <v/>
      </c>
      <c r="E63">
        <f>IFERROR(VLOOKUP($A63,'Timelines'!$A:$K,9,FALSE),"")</f>
        <v/>
      </c>
    </row>
    <row r="64">
      <c r="A64" t="inlineStr">
        <is>
          <t>D-044</t>
        </is>
      </c>
      <c r="B64">
        <f>IFERROR(VLOOKUP($A64,'Timelines'!$A:$K,3,FALSE),"")</f>
        <v/>
      </c>
      <c r="C64">
        <f>IFERROR(VLOOKUP($A64,'Timelines'!$A:$K,5,FALSE),"")</f>
        <v/>
      </c>
      <c r="D64">
        <f>IFERROR(VLOOKUP($A64,'Timelines'!$A:$K,7,FALSE),"")</f>
        <v/>
      </c>
      <c r="E64">
        <f>IFERROR(VLOOKUP($A64,'Timelines'!$A:$K,9,FALSE),"")</f>
        <v/>
      </c>
    </row>
    <row r="65">
      <c r="A65" t="inlineStr">
        <is>
          <t>D-045</t>
        </is>
      </c>
      <c r="B65">
        <f>IFERROR(VLOOKUP($A65,'Timelines'!$A:$K,3,FALSE),"")</f>
        <v/>
      </c>
      <c r="C65">
        <f>IFERROR(VLOOKUP($A65,'Timelines'!$A:$K,5,FALSE),"")</f>
        <v/>
      </c>
      <c r="D65">
        <f>IFERROR(VLOOKUP($A65,'Timelines'!$A:$K,7,FALSE),"")</f>
        <v/>
      </c>
      <c r="E65">
        <f>IFERROR(VLOOKUP($A65,'Timelines'!$A:$K,9,FALSE),"")</f>
        <v/>
      </c>
    </row>
    <row r="66">
      <c r="A66" t="inlineStr">
        <is>
          <t>D-046</t>
        </is>
      </c>
      <c r="B66">
        <f>IFERROR(VLOOKUP($A66,'Timelines'!$A:$K,3,FALSE),"")</f>
        <v/>
      </c>
      <c r="C66">
        <f>IFERROR(VLOOKUP($A66,'Timelines'!$A:$K,5,FALSE),"")</f>
        <v/>
      </c>
      <c r="D66">
        <f>IFERROR(VLOOKUP($A66,'Timelines'!$A:$K,7,FALSE),"")</f>
        <v/>
      </c>
      <c r="E66">
        <f>IFERROR(VLOOKUP($A66,'Timelines'!$A:$K,9,FALSE),"")</f>
        <v/>
      </c>
    </row>
    <row r="67">
      <c r="A67" t="inlineStr">
        <is>
          <t>D-047</t>
        </is>
      </c>
      <c r="B67">
        <f>IFERROR(VLOOKUP($A67,'Timelines'!$A:$K,3,FALSE),"")</f>
        <v/>
      </c>
      <c r="C67">
        <f>IFERROR(VLOOKUP($A67,'Timelines'!$A:$K,5,FALSE),"")</f>
        <v/>
      </c>
      <c r="D67">
        <f>IFERROR(VLOOKUP($A67,'Timelines'!$A:$K,7,FALSE),"")</f>
        <v/>
      </c>
      <c r="E67">
        <f>IFERROR(VLOOKUP($A67,'Timelines'!$A:$K,9,FALSE),"")</f>
        <v/>
      </c>
    </row>
    <row r="68">
      <c r="A68" t="inlineStr">
        <is>
          <t>D-048</t>
        </is>
      </c>
      <c r="B68">
        <f>IFERROR(VLOOKUP($A68,'Timelines'!$A:$K,3,FALSE),"")</f>
        <v/>
      </c>
      <c r="C68">
        <f>IFERROR(VLOOKUP($A68,'Timelines'!$A:$K,5,FALSE),"")</f>
        <v/>
      </c>
      <c r="D68">
        <f>IFERROR(VLOOKUP($A68,'Timelines'!$A:$K,7,FALSE),"")</f>
        <v/>
      </c>
      <c r="E68">
        <f>IFERROR(VLOOKUP($A68,'Timelines'!$A:$K,9,FALSE),"")</f>
        <v/>
      </c>
    </row>
    <row r="69">
      <c r="A69" t="inlineStr">
        <is>
          <t>D-049</t>
        </is>
      </c>
      <c r="B69">
        <f>IFERROR(VLOOKUP($A69,'Timelines'!$A:$K,3,FALSE),"")</f>
        <v/>
      </c>
      <c r="C69">
        <f>IFERROR(VLOOKUP($A69,'Timelines'!$A:$K,5,FALSE),"")</f>
        <v/>
      </c>
      <c r="D69">
        <f>IFERROR(VLOOKUP($A69,'Timelines'!$A:$K,7,FALSE),"")</f>
        <v/>
      </c>
      <c r="E69">
        <f>IFERROR(VLOOKUP($A69,'Timelines'!$A:$K,9,FALSE),"")</f>
        <v/>
      </c>
    </row>
    <row r="70">
      <c r="A70" t="inlineStr">
        <is>
          <t>D-050</t>
        </is>
      </c>
      <c r="B70">
        <f>IFERROR(VLOOKUP($A70,'Timelines'!$A:$K,3,FALSE),"")</f>
        <v/>
      </c>
      <c r="C70">
        <f>IFERROR(VLOOKUP($A70,'Timelines'!$A:$K,5,FALSE),"")</f>
        <v/>
      </c>
      <c r="D70">
        <f>IFERROR(VLOOKUP($A70,'Timelines'!$A:$K,7,FALSE),"")</f>
        <v/>
      </c>
      <c r="E70">
        <f>IFERROR(VLOOKUP($A70,'Timelines'!$A:$K,9,FALSE),"")</f>
        <v/>
      </c>
    </row>
    <row r="71">
      <c r="A71" t="inlineStr">
        <is>
          <t>D-051</t>
        </is>
      </c>
      <c r="B71">
        <f>IFERROR(VLOOKUP($A71,'Timelines'!$A:$K,3,FALSE),"")</f>
        <v/>
      </c>
      <c r="C71">
        <f>IFERROR(VLOOKUP($A71,'Timelines'!$A:$K,5,FALSE),"")</f>
        <v/>
      </c>
      <c r="D71">
        <f>IFERROR(VLOOKUP($A71,'Timelines'!$A:$K,7,FALSE),"")</f>
        <v/>
      </c>
      <c r="E71">
        <f>IFERROR(VLOOKUP($A71,'Timelines'!$A:$K,9,FALSE),"")</f>
        <v/>
      </c>
    </row>
    <row r="72">
      <c r="A72" t="inlineStr">
        <is>
          <t>D-052</t>
        </is>
      </c>
      <c r="B72">
        <f>IFERROR(VLOOKUP($A72,'Timelines'!$A:$K,3,FALSE),"")</f>
        <v/>
      </c>
      <c r="C72">
        <f>IFERROR(VLOOKUP($A72,'Timelines'!$A:$K,5,FALSE),"")</f>
        <v/>
      </c>
      <c r="D72">
        <f>IFERROR(VLOOKUP($A72,'Timelines'!$A:$K,7,FALSE),"")</f>
        <v/>
      </c>
      <c r="E72">
        <f>IFERROR(VLOOKUP($A72,'Timelines'!$A:$K,9,FALSE),"")</f>
        <v/>
      </c>
    </row>
    <row r="73">
      <c r="A73" t="inlineStr">
        <is>
          <t>D-053</t>
        </is>
      </c>
      <c r="B73">
        <f>IFERROR(VLOOKUP($A73,'Timelines'!$A:$K,3,FALSE),"")</f>
        <v/>
      </c>
      <c r="C73">
        <f>IFERROR(VLOOKUP($A73,'Timelines'!$A:$K,5,FALSE),"")</f>
        <v/>
      </c>
      <c r="D73">
        <f>IFERROR(VLOOKUP($A73,'Timelines'!$A:$K,7,FALSE),"")</f>
        <v/>
      </c>
      <c r="E73">
        <f>IFERROR(VLOOKUP($A73,'Timelines'!$A:$K,9,FALSE),"")</f>
        <v/>
      </c>
    </row>
    <row r="74">
      <c r="A74" t="inlineStr">
        <is>
          <t>D-054</t>
        </is>
      </c>
      <c r="B74">
        <f>IFERROR(VLOOKUP($A74,'Timelines'!$A:$K,3,FALSE),"")</f>
        <v/>
      </c>
      <c r="C74">
        <f>IFERROR(VLOOKUP($A74,'Timelines'!$A:$K,5,FALSE),"")</f>
        <v/>
      </c>
      <c r="D74">
        <f>IFERROR(VLOOKUP($A74,'Timelines'!$A:$K,7,FALSE),"")</f>
        <v/>
      </c>
      <c r="E74">
        <f>IFERROR(VLOOKUP($A74,'Timelines'!$A:$K,9,FALSE),"")</f>
        <v/>
      </c>
    </row>
  </sheetData>
  <conditionalFormatting sqref="F2:R74">
    <cfRule type="expression" priority="4" dxfId="3">
      <formula>AND(F$1&gt;=$C2,F$1&lt;=$D2,SEARCH("complet",$E2)&gt;0)</formula>
    </cfRule>
    <cfRule type="expression" priority="5" dxfId="4">
      <formula>AND(F$1&gt;=$C2,F$1&lt;=$D2,$D2&lt;TODAY(),ISERROR(SEARCH("complet",$E2)))</formula>
    </cfRule>
    <cfRule type="expression" priority="6" dxfId="5">
      <formula>AND(F$1&gt;=$C2,F$1&lt;=$D2,ISERROR(SEARCH("complet",$E2)))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2026-03-24T14:19:34Z</dcterms:created>
  <dcterms:modified xmlns:dcterms="http://purl.org/dc/terms/" xmlns:xsi="http://www.w3.org/2001/XMLSchema-instance" xsi:type="dcterms:W3CDTF">2026-03-24T15:13:40Z</dcterms:modified>
  <cp:lastModifiedBy>Ashwin Conrad</cp:lastModifiedBy>
</cp:coreProperties>
</file>